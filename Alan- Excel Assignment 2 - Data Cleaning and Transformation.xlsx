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  <sheet state="visible" name="Date " sheetId="3" r:id="rId6"/>
  </sheets>
  <definedNames/>
  <calcPr/>
  <extLst>
    <ext uri="GoogleSheetsCustomDataVersion2">
      <go:sheetsCustomData xmlns:go="http://customooxmlschemas.google.com/" r:id="rId7" roundtripDataChecksum="50HOFcJBThEGxfUSzKrOrZIseqj3rFhm+Q0fUE95S1A="/>
    </ext>
  </extLst>
</workbook>
</file>

<file path=xl/sharedStrings.xml><?xml version="1.0" encoding="utf-8"?>
<sst xmlns="http://schemas.openxmlformats.org/spreadsheetml/2006/main" count="185" uniqueCount="151">
  <si>
    <t>Product ID</t>
  </si>
  <si>
    <t>Manufacturing date (4.1)</t>
  </si>
  <si>
    <t>Perform the following in the dataset from the 'Dataset' sheet.</t>
  </si>
  <si>
    <t>Product Name</t>
  </si>
  <si>
    <t>Brand Name</t>
  </si>
  <si>
    <t>Price ($)</t>
  </si>
  <si>
    <t>1) Handling Missing Values:</t>
  </si>
  <si>
    <t>28-JAN</t>
  </si>
  <si>
    <t>Quantity</t>
  </si>
  <si>
    <t>Category</t>
  </si>
  <si>
    <t>Category missing (1.2)</t>
  </si>
  <si>
    <t>15-FEB</t>
  </si>
  <si>
    <t>03-MAR</t>
  </si>
  <si>
    <t>Corrected product name (2.1)</t>
  </si>
  <si>
    <t>11-APR</t>
  </si>
  <si>
    <t>22-MAY</t>
  </si>
  <si>
    <t>07-JUN</t>
  </si>
  <si>
    <t>• Check for missing values in the 'Price' column. How would you handle products with missing price information?</t>
  </si>
  <si>
    <t>19-JUL</t>
  </si>
  <si>
    <t>Country Code</t>
  </si>
  <si>
    <t xml:space="preserve">Product Brand </t>
  </si>
  <si>
    <t>23-AUG</t>
  </si>
  <si>
    <t>DD-MM-YYYY</t>
  </si>
  <si>
    <t>05-SEP</t>
  </si>
  <si>
    <t>14-OCT</t>
  </si>
  <si>
    <t>28-JAN-US</t>
  </si>
  <si>
    <t>• If there are products with missing categories, propose a strategy to impute or deal with these missing values effectively.</t>
  </si>
  <si>
    <t>17-JUN</t>
  </si>
  <si>
    <t>25-NOV</t>
  </si>
  <si>
    <t>laptop</t>
  </si>
  <si>
    <t>Dell</t>
  </si>
  <si>
    <t>08-DEC</t>
  </si>
  <si>
    <t>2) Correcting Inconsistent Data:</t>
  </si>
  <si>
    <t>18-FEB</t>
  </si>
  <si>
    <t>16-APR</t>
  </si>
  <si>
    <t>• Identify any inconsistent text formats present in the "Product Name" column.</t>
  </si>
  <si>
    <t>21-AUG</t>
  </si>
  <si>
    <t>Electronics</t>
  </si>
  <si>
    <t>• Identify any typos present in the "Category" column.</t>
  </si>
  <si>
    <t>20-AUG</t>
  </si>
  <si>
    <t>• Use the find and replace function to standardize the text formats in the "Product Name" column and fix any typos or misspellings in the "Category" column.</t>
  </si>
  <si>
    <t>27-JAN</t>
  </si>
  <si>
    <t>01-MAR</t>
  </si>
  <si>
    <t>3) Removing Duplicates:</t>
  </si>
  <si>
    <t>14-AUG</t>
  </si>
  <si>
    <t>14-MAY</t>
  </si>
  <si>
    <t>• Identify any duplicate rows within the dataset based on the entirety of each row, and remove them if any.</t>
  </si>
  <si>
    <t>09-JAN</t>
  </si>
  <si>
    <t>4) Splitting and Merging Data:</t>
  </si>
  <si>
    <t>29-SEP</t>
  </si>
  <si>
    <t>03-JUN</t>
  </si>
  <si>
    <t>11-JUL</t>
  </si>
  <si>
    <t>07-MAR</t>
  </si>
  <si>
    <t>• Split the "Product ID" column into two separate columns for " Manufacturing Date" and "Country Code". Remove unnecessary characters, if any.</t>
  </si>
  <si>
    <t>13-APR</t>
  </si>
  <si>
    <t>24-MAY</t>
  </si>
  <si>
    <t>• Merge the "Brand Name" and "Product Name" columns into one column named "Product Brand".</t>
  </si>
  <si>
    <t>02-DEC</t>
  </si>
  <si>
    <t>09-JUL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</si>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</sst>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color theme="1"/>
      <name val="Arial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9900"/>
        <bgColor rgb="FFFF9900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2" fontId="1" numFmtId="165" xfId="0" applyAlignment="1" applyFill="1" applyFont="1" applyNumberFormat="1">
      <alignment horizontal="center"/>
    </xf>
    <xf borderId="0" fillId="0" fontId="3" numFmtId="164" xfId="0" applyFont="1" applyNumberFormat="1"/>
    <xf borderId="0" fillId="3" fontId="4" numFmtId="0" xfId="0" applyAlignment="1" applyFill="1" applyFont="1">
      <alignment readingOrder="0"/>
    </xf>
    <xf borderId="0" fillId="0" fontId="5" numFmtId="0" xfId="0" applyFont="1"/>
    <xf borderId="0" fillId="3" fontId="4" numFmtId="164" xfId="0" applyAlignment="1" applyFill="1" applyFont="1" applyNumberForma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8" numFmtId="165" xfId="0" applyFont="1" applyNumberFormat="1"/>
    <xf borderId="0" fillId="0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3" numFmtId="0" xfId="0" applyFont="1"/>
    <xf borderId="0" fillId="4" fontId="8" numFmtId="0" xfId="0" applyFill="1" applyFont="1"/>
    <xf borderId="0" fillId="4" fontId="8" numFmtId="165" xfId="0" applyFill="1" applyFont="1" applyNumberFormat="1"/>
    <xf borderId="0" fillId="5" fontId="8" numFmtId="165" xfId="0" applyFill="1" applyFont="1" applyNumberFormat="1"/>
    <xf borderId="0" fillId="5" fontId="8" numFmtId="0" xfId="0" applyFill="1" applyFont="1"/>
    <xf borderId="0" fillId="5" fontId="3" numFmtId="0" xfId="0" applyFill="1" applyFont="1"/>
    <xf borderId="0" fillId="5" fontId="8" numFmtId="0" xfId="0" applyAlignment="1" applyFill="1" applyFont="1">
      <alignment readingOrder="0"/>
    </xf>
    <xf borderId="0" fillId="4" fontId="8" numFmtId="0" xfId="0" applyAlignment="1" applyFill="1" applyFont="1">
      <alignment readingOrder="0"/>
    </xf>
    <xf borderId="0" fillId="5" fontId="1" numFmtId="165" xfId="0" applyFill="1" applyFont="1" applyNumberFormat="1"/>
    <xf borderId="0" fillId="0" fontId="8" numFmtId="0" xfId="0" applyAlignment="1" applyFon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2" t="s">
        <v>2</v>
      </c>
    </row>
    <row r="2" ht="15.75" customHeight="1"/>
    <row r="3" ht="15.75" customHeight="1">
      <c r="B3" s="7" t="s">
        <v>6</v>
      </c>
    </row>
    <row r="4" ht="15.75" customHeight="1">
      <c r="C4" s="9" t="s">
        <v>17</v>
      </c>
    </row>
    <row r="5" ht="15.75" customHeight="1">
      <c r="B5" s="10"/>
      <c r="C5" s="9" t="s">
        <v>26</v>
      </c>
    </row>
    <row r="6" ht="15.75" customHeight="1">
      <c r="B6" s="10"/>
    </row>
    <row r="7" ht="15.75" customHeight="1">
      <c r="B7" s="7" t="s">
        <v>32</v>
      </c>
    </row>
    <row r="8" ht="15.75" customHeight="1">
      <c r="C8" s="9" t="s">
        <v>35</v>
      </c>
    </row>
    <row r="9" ht="15.75" customHeight="1">
      <c r="C9" s="9" t="s">
        <v>38</v>
      </c>
    </row>
    <row r="10" ht="15.75" customHeight="1">
      <c r="C10" s="9" t="s">
        <v>40</v>
      </c>
    </row>
    <row r="11" ht="15.75" customHeight="1">
      <c r="B11" s="10"/>
    </row>
    <row r="12" ht="15.75" customHeight="1">
      <c r="B12" s="7" t="s">
        <v>43</v>
      </c>
    </row>
    <row r="13" ht="15.75" customHeight="1">
      <c r="B13" s="7"/>
      <c r="C13" s="9" t="s">
        <v>46</v>
      </c>
    </row>
    <row r="14" ht="15.75" customHeight="1"/>
    <row r="15" ht="15.75" customHeight="1">
      <c r="B15" s="13" t="s">
        <v>48</v>
      </c>
      <c r="C15" s="14"/>
      <c r="D15" s="14"/>
      <c r="E15" s="14"/>
      <c r="F15" s="14"/>
      <c r="G15" s="14"/>
      <c r="H15" s="14"/>
      <c r="I15" s="14"/>
      <c r="J15" s="14"/>
      <c r="K15" s="14"/>
    </row>
    <row r="16" ht="15.75" customHeight="1">
      <c r="B16" s="14"/>
      <c r="C16" s="15" t="s">
        <v>53</v>
      </c>
      <c r="D16" s="14"/>
      <c r="E16" s="14"/>
      <c r="F16" s="14"/>
      <c r="G16" s="14"/>
      <c r="H16" s="14"/>
      <c r="I16" s="14"/>
      <c r="J16" s="14"/>
      <c r="K16" s="14"/>
    </row>
    <row r="17" ht="15.75" customHeight="1">
      <c r="B17" s="14"/>
      <c r="C17" s="15" t="s">
        <v>56</v>
      </c>
      <c r="D17" s="14"/>
      <c r="E17" s="14"/>
      <c r="F17" s="14"/>
      <c r="G17" s="14"/>
      <c r="H17" s="14"/>
      <c r="I17" s="14"/>
      <c r="J17" s="14"/>
      <c r="K17" s="14"/>
    </row>
    <row r="18" ht="15.75" customHeight="1"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ht="15.75" customHeight="1">
      <c r="B19" s="13" t="s">
        <v>59</v>
      </c>
      <c r="C19" s="14"/>
      <c r="D19" s="14"/>
      <c r="E19" s="14"/>
      <c r="F19" s="14"/>
      <c r="G19" s="14"/>
      <c r="H19" s="14"/>
      <c r="I19" s="14"/>
      <c r="J19" s="14"/>
      <c r="K19" s="14"/>
    </row>
    <row r="20" ht="15.75" customHeight="1">
      <c r="B20" s="14"/>
      <c r="C20" s="15" t="s">
        <v>60</v>
      </c>
      <c r="D20" s="14"/>
      <c r="E20" s="14"/>
      <c r="F20" s="14"/>
      <c r="G20" s="14"/>
      <c r="H20" s="14"/>
      <c r="I20" s="14"/>
      <c r="J20" s="14"/>
      <c r="K20" s="14"/>
    </row>
    <row r="21" ht="15.75" customHeight="1">
      <c r="B21" s="14"/>
      <c r="C21" s="15" t="s">
        <v>61</v>
      </c>
      <c r="D21" s="14"/>
      <c r="E21" s="14"/>
      <c r="F21" s="14"/>
      <c r="G21" s="14"/>
      <c r="H21" s="14"/>
      <c r="I21" s="14"/>
      <c r="J21" s="14"/>
      <c r="K21" s="14"/>
    </row>
    <row r="22" ht="15.75" customHeight="1"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ht="15.75" customHeight="1">
      <c r="B23" s="13" t="s">
        <v>62</v>
      </c>
      <c r="C23" s="14"/>
      <c r="D23" s="14"/>
      <c r="E23" s="14"/>
      <c r="F23" s="14"/>
      <c r="G23" s="14"/>
      <c r="H23" s="14"/>
      <c r="I23" s="14"/>
      <c r="J23" s="14"/>
      <c r="K23" s="14"/>
    </row>
    <row r="24" ht="15.75" customHeight="1">
      <c r="B24" s="14"/>
      <c r="C24" s="15" t="s">
        <v>63</v>
      </c>
      <c r="D24" s="14"/>
      <c r="E24" s="14"/>
      <c r="F24" s="14"/>
      <c r="G24" s="14"/>
      <c r="H24" s="14"/>
      <c r="I24" s="14"/>
      <c r="J24" s="14"/>
      <c r="K24" s="14"/>
    </row>
    <row r="25" ht="15.75" customHeight="1">
      <c r="B25" s="14"/>
      <c r="C25" s="15" t="s">
        <v>64</v>
      </c>
      <c r="D25" s="14"/>
      <c r="E25" s="14"/>
      <c r="F25" s="14"/>
      <c r="G25" s="14"/>
      <c r="H25" s="14"/>
      <c r="I25" s="14"/>
      <c r="J25" s="14"/>
      <c r="K25" s="14"/>
    </row>
    <row r="26" ht="15.75" customHeight="1">
      <c r="B26" s="14"/>
      <c r="C26" s="15"/>
      <c r="D26" s="14"/>
      <c r="E26" s="14"/>
      <c r="F26" s="14"/>
      <c r="G26" s="14"/>
      <c r="H26" s="14"/>
      <c r="I26" s="14"/>
      <c r="J26" s="14"/>
      <c r="K26" s="14"/>
    </row>
    <row r="27" ht="15.75" customHeight="1">
      <c r="B27" s="14"/>
      <c r="C27" s="14"/>
      <c r="D27" s="16"/>
      <c r="E27" s="14"/>
      <c r="F27" s="14"/>
      <c r="G27" s="14"/>
      <c r="H27" s="14"/>
      <c r="I27" s="14"/>
      <c r="J27" s="14"/>
      <c r="K27" s="1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0.0"/>
    <col customWidth="1" min="9" max="9" width="24.75"/>
    <col customWidth="1" min="10" max="10" width="21.13"/>
    <col customWidth="1" min="12" max="12" width="20.0"/>
    <col customWidth="1" min="13" max="13" width="29.25"/>
  </cols>
  <sheetData>
    <row r="1" ht="15.75" customHeight="1">
      <c r="A1" s="1" t="s">
        <v>0</v>
      </c>
      <c r="B1" s="1" t="s">
        <v>3</v>
      </c>
      <c r="C1" s="1" t="s">
        <v>4</v>
      </c>
      <c r="D1" s="4" t="s">
        <v>5</v>
      </c>
      <c r="E1" s="1" t="s">
        <v>8</v>
      </c>
      <c r="F1" s="1" t="s">
        <v>9</v>
      </c>
      <c r="H1" s="6" t="s">
        <v>10</v>
      </c>
      <c r="I1" s="6" t="s">
        <v>13</v>
      </c>
      <c r="J1" s="8" t="s">
        <v>1</v>
      </c>
      <c r="K1" s="6" t="s">
        <v>19</v>
      </c>
      <c r="L1" s="6" t="s">
        <v>20</v>
      </c>
      <c r="M1" s="6" t="s">
        <v>22</v>
      </c>
    </row>
    <row r="2" ht="15.75" customHeight="1">
      <c r="A2" s="11" t="s">
        <v>25</v>
      </c>
      <c r="B2" s="11" t="s">
        <v>29</v>
      </c>
      <c r="C2" s="11" t="s">
        <v>30</v>
      </c>
      <c r="D2" s="12">
        <v>1000.0</v>
      </c>
      <c r="E2" s="11">
        <v>30.0</v>
      </c>
      <c r="F2" s="11" t="s">
        <v>37</v>
      </c>
      <c r="H2" s="17" t="str">
        <f t="shared" ref="H2:H35" si="1">IFS(
    ISBLANK(F2), 
    IF(OR(B2="Backpack", B2="Laptop Bag", B2="Watch"), "Accessories",
       IF(OR(B2="Sneakers", B2="T-shirt", B2="Sunglasses", B2="Dress", B2="Jeans"), "Fashion",
          IF(OR(B2="Fitness Tracker", B2="Smartwatch", B2="laptop", B2="Laptop", B2="smartphone", B2="Smartphone", B2="Headphones", B2="headphones", B2="Tablet", B2="Camera", B2="Microwave"), "Electronics",
             IF(OR(B2="Coffee Maker", B2="Blender", B2="Toaster"), "Kitchen",
                IF(OR(B2="Camping Tent", B2="Hiking Boots"), "Outdoor", F2))))),
    TRUE, F2)</f>
        <v>Electronics</v>
      </c>
      <c r="I2" s="17" t="str">
        <f t="shared" ref="I2:I35" si="2">PROPER(B2)</f>
        <v>Laptop</v>
      </c>
      <c r="J2" s="5" t="str">
        <f t="shared" ref="J2:J32" si="3">LEFT(A2, 6)</f>
        <v>28-JAN</v>
      </c>
      <c r="K2" s="17" t="str">
        <f t="shared" ref="K2:K32" si="4">RIGHT(A2, 2)</f>
        <v>US</v>
      </c>
      <c r="L2" s="17" t="str">
        <f t="shared" ref="L2:L32" si="5">CONCATENATE(C2, " ", B2)</f>
        <v>Dell laptop</v>
      </c>
    </row>
    <row r="3" ht="15.75" customHeight="1">
      <c r="A3" s="18" t="s">
        <v>65</v>
      </c>
      <c r="B3" s="18" t="s">
        <v>66</v>
      </c>
      <c r="C3" s="18" t="s">
        <v>67</v>
      </c>
      <c r="D3" s="19">
        <v>80.0</v>
      </c>
      <c r="E3" s="18">
        <v>15.0</v>
      </c>
      <c r="F3" s="18" t="s">
        <v>68</v>
      </c>
      <c r="H3" s="17" t="str">
        <f t="shared" si="1"/>
        <v>Fashion</v>
      </c>
      <c r="I3" s="17" t="str">
        <f t="shared" si="2"/>
        <v>Sneakers</v>
      </c>
      <c r="J3" s="5" t="str">
        <f t="shared" si="3"/>
        <v>15-FEB</v>
      </c>
      <c r="K3" s="17" t="str">
        <f t="shared" si="4"/>
        <v>US</v>
      </c>
      <c r="L3" s="17" t="str">
        <f t="shared" si="5"/>
        <v>Nike Sneakers</v>
      </c>
      <c r="M3" s="14"/>
      <c r="N3" s="14"/>
    </row>
    <row r="4" ht="15.75" customHeight="1">
      <c r="A4" s="11" t="s">
        <v>69</v>
      </c>
      <c r="B4" s="11" t="s">
        <v>70</v>
      </c>
      <c r="C4" s="11" t="s">
        <v>71</v>
      </c>
      <c r="D4" s="12">
        <v>130.0</v>
      </c>
      <c r="E4" s="11">
        <v>40.0</v>
      </c>
      <c r="F4" s="11" t="s">
        <v>72</v>
      </c>
      <c r="H4" s="17" t="str">
        <f t="shared" si="1"/>
        <v>Kitchen</v>
      </c>
      <c r="I4" s="17" t="str">
        <f t="shared" si="2"/>
        <v>Coffee Maker</v>
      </c>
      <c r="J4" s="5" t="str">
        <f t="shared" si="3"/>
        <v>03-MAR</v>
      </c>
      <c r="K4" s="17" t="str">
        <f t="shared" si="4"/>
        <v>US</v>
      </c>
      <c r="L4" s="17" t="str">
        <f t="shared" si="5"/>
        <v>Keurig Coffee Maker</v>
      </c>
      <c r="M4" s="14"/>
      <c r="N4" s="14"/>
    </row>
    <row r="5" ht="15.75" customHeight="1">
      <c r="A5" s="18" t="s">
        <v>73</v>
      </c>
      <c r="B5" s="18" t="s">
        <v>74</v>
      </c>
      <c r="C5" s="18" t="s">
        <v>75</v>
      </c>
      <c r="D5" s="19">
        <v>900.0</v>
      </c>
      <c r="E5" s="18">
        <v>25.0</v>
      </c>
      <c r="F5" s="18" t="s">
        <v>37</v>
      </c>
      <c r="H5" s="17" t="str">
        <f t="shared" si="1"/>
        <v>Electronics</v>
      </c>
      <c r="I5" s="17" t="str">
        <f t="shared" si="2"/>
        <v>Smartphone</v>
      </c>
      <c r="J5" s="5" t="str">
        <f t="shared" si="3"/>
        <v>11-APR</v>
      </c>
      <c r="K5" s="17" t="str">
        <f t="shared" si="4"/>
        <v>US</v>
      </c>
      <c r="L5" s="17" t="str">
        <f t="shared" si="5"/>
        <v>Samsung smartphone</v>
      </c>
      <c r="M5" s="14"/>
      <c r="N5" s="14"/>
    </row>
    <row r="6" ht="15.75" customHeight="1">
      <c r="A6" s="11" t="s">
        <v>76</v>
      </c>
      <c r="B6" s="11" t="s">
        <v>77</v>
      </c>
      <c r="C6" s="11" t="s">
        <v>78</v>
      </c>
      <c r="D6" s="12">
        <v>70.0</v>
      </c>
      <c r="E6" s="11">
        <v>20.0</v>
      </c>
      <c r="F6" s="11" t="str">
        <f>IFS(
    ISBLANK(F6), 
    IF(OR(B2="Backpack", B2="Laptop Bag", B2="Watch"), "Accessories",
       IF(OR(B2="Sneakers", B2="T-shirt", B2="Sunglasses", B2="Dress", B2="Jeans"), "Fashion",
          IF(OR(B2="Fitness Tracker", B2="Smartwatch", B2="laptop", B2="Laptop", B2="smartphone", B2="Smartphone", B2="Headphones", B2="headphones", B2="Tablet", B2="Camera", B2="Microwave"), "Electronics",
             IF(OR(B2="Coffee Maker", B2="Blender", B2="Toaster"), "Kitchen",
                IF(OR(B2="Camping Tent", B2="Hiking Boots"), "Outdoor", F2))))),
    TRUE, F2)</f>
        <v>Electronics</v>
      </c>
      <c r="H6" s="17" t="str">
        <f t="shared" si="1"/>
        <v>Electronics</v>
      </c>
      <c r="I6" s="17" t="str">
        <f t="shared" si="2"/>
        <v>Backpack</v>
      </c>
      <c r="J6" s="5" t="str">
        <f t="shared" si="3"/>
        <v>22-MAY</v>
      </c>
      <c r="K6" s="17" t="str">
        <f t="shared" si="4"/>
        <v>US</v>
      </c>
      <c r="L6" s="17" t="str">
        <f t="shared" si="5"/>
        <v>North Face Backpack</v>
      </c>
    </row>
    <row r="7" ht="15.75" customHeight="1">
      <c r="A7" s="18" t="s">
        <v>79</v>
      </c>
      <c r="B7" s="18" t="s">
        <v>80</v>
      </c>
      <c r="C7" s="18" t="s">
        <v>81</v>
      </c>
      <c r="D7" s="20">
        <f>AVERAGEIF(F$2:F$35, "Electronics", D$2:D$35)</f>
        <v>518.4615385</v>
      </c>
      <c r="E7" s="18">
        <v>45.0</v>
      </c>
      <c r="F7" s="21" t="s">
        <v>37</v>
      </c>
      <c r="H7" s="17" t="str">
        <f t="shared" si="1"/>
        <v>Electronics</v>
      </c>
      <c r="I7" s="17" t="str">
        <f t="shared" si="2"/>
        <v>Headphones</v>
      </c>
      <c r="J7" s="5" t="str">
        <f t="shared" si="3"/>
        <v>07-JUN</v>
      </c>
      <c r="K7" s="17" t="str">
        <f t="shared" si="4"/>
        <v>UK</v>
      </c>
      <c r="L7" s="17" t="str">
        <f t="shared" si="5"/>
        <v>Sony Headphones</v>
      </c>
    </row>
    <row r="8" ht="15.75" customHeight="1">
      <c r="A8" s="11" t="s">
        <v>82</v>
      </c>
      <c r="B8" s="11" t="s">
        <v>83</v>
      </c>
      <c r="C8" s="11" t="s">
        <v>84</v>
      </c>
      <c r="D8" s="12">
        <v>30.0</v>
      </c>
      <c r="E8" s="11">
        <v>5.0</v>
      </c>
      <c r="F8" s="11" t="s">
        <v>68</v>
      </c>
      <c r="H8" s="17" t="str">
        <f t="shared" si="1"/>
        <v>Fashion</v>
      </c>
      <c r="I8" s="17" t="str">
        <f t="shared" si="2"/>
        <v>T-Shirt</v>
      </c>
      <c r="J8" s="5" t="str">
        <f t="shared" si="3"/>
        <v>19-JUL</v>
      </c>
      <c r="K8" s="17" t="str">
        <f t="shared" si="4"/>
        <v>UK</v>
      </c>
      <c r="L8" s="17" t="str">
        <f t="shared" si="5"/>
        <v>Adidas T-shirt</v>
      </c>
    </row>
    <row r="9" ht="15.75" customHeight="1">
      <c r="A9" s="18" t="s">
        <v>85</v>
      </c>
      <c r="B9" s="18" t="s">
        <v>86</v>
      </c>
      <c r="C9" s="18" t="s">
        <v>87</v>
      </c>
      <c r="D9" s="19">
        <v>90.0</v>
      </c>
      <c r="E9" s="18">
        <v>35.0</v>
      </c>
      <c r="F9" s="18" t="s">
        <v>72</v>
      </c>
      <c r="H9" s="17" t="str">
        <f t="shared" si="1"/>
        <v>Kitchen</v>
      </c>
      <c r="I9" s="17" t="str">
        <f t="shared" si="2"/>
        <v>Blender</v>
      </c>
      <c r="J9" s="5" t="str">
        <f t="shared" si="3"/>
        <v>23-AUG</v>
      </c>
      <c r="K9" s="17" t="str">
        <f t="shared" si="4"/>
        <v>UK</v>
      </c>
      <c r="L9" s="17" t="str">
        <f t="shared" si="5"/>
        <v>Ninja Blender</v>
      </c>
    </row>
    <row r="10" ht="15.75" customHeight="1">
      <c r="A10" s="11" t="s">
        <v>88</v>
      </c>
      <c r="B10" s="11" t="s">
        <v>89</v>
      </c>
      <c r="C10" s="11" t="s">
        <v>90</v>
      </c>
      <c r="D10" s="12">
        <v>500.0</v>
      </c>
      <c r="E10" s="11">
        <v>50.0</v>
      </c>
      <c r="F10" s="11" t="s">
        <v>37</v>
      </c>
      <c r="H10" s="17" t="str">
        <f t="shared" si="1"/>
        <v>Electronics</v>
      </c>
      <c r="I10" s="17" t="str">
        <f t="shared" si="2"/>
        <v>Tablet</v>
      </c>
      <c r="J10" s="5" t="str">
        <f t="shared" si="3"/>
        <v>05-SEP</v>
      </c>
      <c r="K10" s="17" t="str">
        <f t="shared" si="4"/>
        <v>UK</v>
      </c>
      <c r="L10" s="17" t="str">
        <f t="shared" si="5"/>
        <v>Apple Tablet</v>
      </c>
    </row>
    <row r="11" ht="15.75" customHeight="1">
      <c r="A11" s="18" t="s">
        <v>91</v>
      </c>
      <c r="B11" s="18" t="s">
        <v>92</v>
      </c>
      <c r="C11" s="18" t="s">
        <v>93</v>
      </c>
      <c r="D11" s="19">
        <v>130.0</v>
      </c>
      <c r="E11" s="18">
        <v>10.0</v>
      </c>
      <c r="F11" s="18" t="s">
        <v>94</v>
      </c>
      <c r="H11" s="17" t="str">
        <f t="shared" si="1"/>
        <v>Outdoor</v>
      </c>
      <c r="I11" s="17" t="str">
        <f t="shared" si="2"/>
        <v>Hiking Boots</v>
      </c>
      <c r="J11" s="5" t="str">
        <f t="shared" si="3"/>
        <v>14-OCT</v>
      </c>
      <c r="K11" s="17" t="str">
        <f t="shared" si="4"/>
        <v>UK</v>
      </c>
      <c r="L11" s="17" t="str">
        <f t="shared" si="5"/>
        <v>Timberland Hiking Boots</v>
      </c>
    </row>
    <row r="12" ht="15.75" customHeight="1">
      <c r="A12" s="11" t="s">
        <v>95</v>
      </c>
      <c r="B12" s="11" t="s">
        <v>96</v>
      </c>
      <c r="C12" s="11" t="s">
        <v>97</v>
      </c>
      <c r="D12" s="12">
        <v>950.0</v>
      </c>
      <c r="E12" s="11">
        <v>25.0</v>
      </c>
      <c r="F12" s="11" t="s">
        <v>37</v>
      </c>
      <c r="H12" s="17" t="str">
        <f t="shared" si="1"/>
        <v>Electronics</v>
      </c>
      <c r="I12" s="17" t="str">
        <f t="shared" si="2"/>
        <v>Laptop</v>
      </c>
      <c r="J12" s="5" t="str">
        <f t="shared" si="3"/>
        <v>17-JUN</v>
      </c>
      <c r="K12" s="17" t="str">
        <f t="shared" si="4"/>
        <v>IN</v>
      </c>
      <c r="L12" s="17" t="str">
        <f t="shared" si="5"/>
        <v>HP Laptop</v>
      </c>
    </row>
    <row r="13" ht="15.75" customHeight="1">
      <c r="A13" s="18" t="s">
        <v>98</v>
      </c>
      <c r="B13" s="18" t="s">
        <v>66</v>
      </c>
      <c r="C13" s="18" t="s">
        <v>84</v>
      </c>
      <c r="D13" s="19">
        <v>90.0</v>
      </c>
      <c r="E13" s="18">
        <v>40.0</v>
      </c>
      <c r="F13" s="22" t="str">
        <f>IFS(
    ISBLANK(B13), 
    IF(OR(#REF!="Backpack", #REF!="Laptop Bag", #REF!="Watch"), "Accessories",
       IF(OR(#REF!="Sneakers", #REF!="T-shirt", #REF!="Sunglasses", #REF!="Dress", #REF!="Jeans"), "Fashion",
          IF(OR(#REF!="Fitness Tracker", #REF!="Smartwatch", #REF!="laptop", #REF!="Laptop", #REF!="smartphone", #REF!="Smartphone", #REF!="Headphones", #REF!="headphones", #REF!="Tablet", #REF!="Camera", #REF!="Microwave"), "Electronics",
             IF(OR(#REF!="Coffee Maker", #REF!="Blender", #REF!="Toaster"), "Kitchen",
                IF(OR(#REF!="Camping Tent", #REF!="Hiking Boots"), "Outdoor", B13))))),
    TRUE, B13)</f>
        <v>Sneakers</v>
      </c>
      <c r="H13" s="17" t="str">
        <f t="shared" si="1"/>
        <v>Sneakers</v>
      </c>
      <c r="I13" s="17" t="str">
        <f t="shared" si="2"/>
        <v>Sneakers</v>
      </c>
      <c r="J13" s="5" t="str">
        <f t="shared" si="3"/>
        <v>25-NOV</v>
      </c>
      <c r="K13" s="17" t="str">
        <f t="shared" si="4"/>
        <v>AU</v>
      </c>
      <c r="L13" s="17" t="str">
        <f t="shared" si="5"/>
        <v>Adidas Sneakers</v>
      </c>
    </row>
    <row r="14" ht="15.75" customHeight="1">
      <c r="A14" s="11" t="s">
        <v>99</v>
      </c>
      <c r="B14" s="11" t="s">
        <v>70</v>
      </c>
      <c r="C14" s="11" t="s">
        <v>100</v>
      </c>
      <c r="D14" s="12">
        <v>120.0</v>
      </c>
      <c r="E14" s="11">
        <v>35.0</v>
      </c>
      <c r="F14" s="23" t="s">
        <v>72</v>
      </c>
      <c r="H14" s="17" t="str">
        <f t="shared" si="1"/>
        <v>Kitchen</v>
      </c>
      <c r="I14" s="17" t="str">
        <f t="shared" si="2"/>
        <v>Coffee Maker</v>
      </c>
      <c r="J14" s="5" t="str">
        <f t="shared" si="3"/>
        <v>08-DEC</v>
      </c>
      <c r="K14" s="17" t="str">
        <f t="shared" si="4"/>
        <v>DE</v>
      </c>
      <c r="L14" s="17" t="str">
        <f t="shared" si="5"/>
        <v>Nespresso Coffee Maker</v>
      </c>
    </row>
    <row r="15" ht="15.75" customHeight="1">
      <c r="A15" s="18" t="s">
        <v>101</v>
      </c>
      <c r="B15" s="18" t="s">
        <v>102</v>
      </c>
      <c r="C15" s="18" t="s">
        <v>103</v>
      </c>
      <c r="D15" s="19">
        <v>150.0</v>
      </c>
      <c r="E15" s="18">
        <v>15.0</v>
      </c>
      <c r="F15" s="24" t="s">
        <v>37</v>
      </c>
      <c r="H15" s="17" t="str">
        <f t="shared" si="1"/>
        <v>Electronics</v>
      </c>
      <c r="I15" s="17" t="str">
        <f t="shared" si="2"/>
        <v>Smartwatch</v>
      </c>
      <c r="J15" s="5" t="str">
        <f t="shared" si="3"/>
        <v>18-FEB</v>
      </c>
      <c r="K15" s="17" t="str">
        <f t="shared" si="4"/>
        <v>CA</v>
      </c>
      <c r="L15" s="17" t="str">
        <f t="shared" si="5"/>
        <v>Fitbit Smartwatch</v>
      </c>
    </row>
    <row r="16" ht="15.75" customHeight="1">
      <c r="A16" s="11" t="s">
        <v>104</v>
      </c>
      <c r="B16" s="11" t="s">
        <v>105</v>
      </c>
      <c r="C16" s="11" t="s">
        <v>106</v>
      </c>
      <c r="D16" s="12">
        <v>250.0</v>
      </c>
      <c r="E16" s="11">
        <v>20.0</v>
      </c>
      <c r="F16" s="24" t="s">
        <v>37</v>
      </c>
      <c r="H16" s="17" t="str">
        <f t="shared" si="1"/>
        <v>Electronics</v>
      </c>
      <c r="I16" s="17" t="str">
        <f t="shared" si="2"/>
        <v>Headphones</v>
      </c>
      <c r="J16" s="5" t="str">
        <f t="shared" si="3"/>
        <v>16-APR</v>
      </c>
      <c r="K16" s="17" t="str">
        <f t="shared" si="4"/>
        <v>ES</v>
      </c>
      <c r="L16" s="17" t="str">
        <f t="shared" si="5"/>
        <v>Bose headphones</v>
      </c>
    </row>
    <row r="17" ht="15.75" customHeight="1">
      <c r="A17" s="18" t="s">
        <v>107</v>
      </c>
      <c r="B17" s="18" t="s">
        <v>108</v>
      </c>
      <c r="C17" s="18" t="s">
        <v>109</v>
      </c>
      <c r="D17" s="19">
        <v>50.0</v>
      </c>
      <c r="E17" s="18">
        <v>35.0</v>
      </c>
      <c r="F17" s="18" t="s">
        <v>110</v>
      </c>
      <c r="H17" s="17" t="str">
        <f t="shared" si="1"/>
        <v>Accessories</v>
      </c>
      <c r="I17" s="17" t="str">
        <f t="shared" si="2"/>
        <v>Laptop Bag</v>
      </c>
      <c r="J17" s="5" t="str">
        <f t="shared" si="3"/>
        <v>21-AUG</v>
      </c>
      <c r="K17" s="17" t="str">
        <f t="shared" si="4"/>
        <v>CA</v>
      </c>
      <c r="L17" s="17" t="str">
        <f t="shared" si="5"/>
        <v>Samsonite Laptop Bag</v>
      </c>
    </row>
    <row r="18" ht="15.75" customHeight="1">
      <c r="A18" s="11" t="s">
        <v>111</v>
      </c>
      <c r="B18" s="11" t="s">
        <v>102</v>
      </c>
      <c r="C18" s="11" t="s">
        <v>112</v>
      </c>
      <c r="D18" s="12">
        <v>160.0</v>
      </c>
      <c r="E18" s="11">
        <v>15.0</v>
      </c>
      <c r="F18" s="24" t="s">
        <v>37</v>
      </c>
      <c r="H18" s="17" t="str">
        <f t="shared" si="1"/>
        <v>Electronics</v>
      </c>
      <c r="I18" s="17" t="str">
        <f t="shared" si="2"/>
        <v>Smartwatch</v>
      </c>
      <c r="J18" s="5" t="str">
        <f t="shared" si="3"/>
        <v>20-AUG</v>
      </c>
      <c r="K18" s="17" t="str">
        <f t="shared" si="4"/>
        <v>CN</v>
      </c>
      <c r="L18" s="17" t="str">
        <f t="shared" si="5"/>
        <v>Huawei Smartwatch</v>
      </c>
    </row>
    <row r="19" ht="15.75" customHeight="1">
      <c r="A19" s="18" t="s">
        <v>113</v>
      </c>
      <c r="B19" s="18" t="s">
        <v>29</v>
      </c>
      <c r="C19" s="18" t="s">
        <v>114</v>
      </c>
      <c r="D19" s="19">
        <v>980.0</v>
      </c>
      <c r="E19" s="18">
        <v>10.0</v>
      </c>
      <c r="F19" s="18" t="s">
        <v>37</v>
      </c>
      <c r="H19" s="17" t="str">
        <f t="shared" si="1"/>
        <v>Electronics</v>
      </c>
      <c r="I19" s="17" t="str">
        <f t="shared" si="2"/>
        <v>Laptop</v>
      </c>
      <c r="J19" s="5" t="str">
        <f t="shared" si="3"/>
        <v>27-JAN</v>
      </c>
      <c r="K19" s="17" t="str">
        <f t="shared" si="4"/>
        <v>IT</v>
      </c>
      <c r="L19" s="17" t="str">
        <f t="shared" si="5"/>
        <v>Asus laptop</v>
      </c>
    </row>
    <row r="20" ht="15.75" customHeight="1">
      <c r="A20" s="11" t="s">
        <v>115</v>
      </c>
      <c r="B20" s="11" t="s">
        <v>116</v>
      </c>
      <c r="C20" s="11" t="s">
        <v>117</v>
      </c>
      <c r="D20" s="12">
        <v>150.0</v>
      </c>
      <c r="E20" s="11">
        <v>15.0</v>
      </c>
      <c r="F20" s="11" t="s">
        <v>68</v>
      </c>
      <c r="H20" s="17" t="str">
        <f t="shared" si="1"/>
        <v>Fashion</v>
      </c>
      <c r="I20" s="17" t="str">
        <f t="shared" si="2"/>
        <v>Sunglasses</v>
      </c>
      <c r="J20" s="5" t="str">
        <f t="shared" si="3"/>
        <v>01-MAR</v>
      </c>
      <c r="K20" s="17" t="str">
        <f t="shared" si="4"/>
        <v>UK</v>
      </c>
      <c r="L20" s="17" t="str">
        <f t="shared" si="5"/>
        <v>Oakley Sunglasses</v>
      </c>
    </row>
    <row r="21" ht="15.75" customHeight="1">
      <c r="A21" s="18" t="s">
        <v>118</v>
      </c>
      <c r="B21" s="18" t="s">
        <v>119</v>
      </c>
      <c r="C21" s="18" t="s">
        <v>120</v>
      </c>
      <c r="D21" s="25">
        <f>AVERAGEIF(F$2:F$35, "Outdoor", D$2:D$35)</f>
        <v>130</v>
      </c>
      <c r="E21" s="18">
        <v>10.0</v>
      </c>
      <c r="F21" s="18" t="s">
        <v>94</v>
      </c>
      <c r="H21" s="17" t="str">
        <f t="shared" si="1"/>
        <v>Outdoor</v>
      </c>
      <c r="I21" s="17" t="str">
        <f t="shared" si="2"/>
        <v>Camping Tent</v>
      </c>
      <c r="J21" s="5" t="str">
        <f t="shared" si="3"/>
        <v>14-AUG</v>
      </c>
      <c r="K21" s="17" t="str">
        <f t="shared" si="4"/>
        <v>US</v>
      </c>
      <c r="L21" s="17" t="str">
        <f t="shared" si="5"/>
        <v>Coleman Camping Tent</v>
      </c>
    </row>
    <row r="22" ht="15.75" customHeight="1">
      <c r="A22" s="11" t="s">
        <v>121</v>
      </c>
      <c r="B22" s="11" t="s">
        <v>122</v>
      </c>
      <c r="C22" s="11" t="s">
        <v>123</v>
      </c>
      <c r="D22" s="12">
        <v>700.0</v>
      </c>
      <c r="E22" s="11">
        <v>50.0</v>
      </c>
      <c r="F22" s="11" t="s">
        <v>37</v>
      </c>
      <c r="H22" s="17" t="str">
        <f t="shared" si="1"/>
        <v>Electronics</v>
      </c>
      <c r="I22" s="17" t="str">
        <f t="shared" si="2"/>
        <v>Camera</v>
      </c>
      <c r="J22" s="5" t="str">
        <f t="shared" si="3"/>
        <v>14-MAY</v>
      </c>
      <c r="K22" s="17" t="str">
        <f t="shared" si="4"/>
        <v>RU</v>
      </c>
      <c r="L22" s="17" t="str">
        <f t="shared" si="5"/>
        <v>Nikon Camera</v>
      </c>
    </row>
    <row r="23" ht="15.75" customHeight="1">
      <c r="A23" s="18" t="s">
        <v>124</v>
      </c>
      <c r="B23" s="18" t="s">
        <v>125</v>
      </c>
      <c r="C23" s="18" t="s">
        <v>126</v>
      </c>
      <c r="D23" s="19">
        <v>80.0</v>
      </c>
      <c r="E23" s="18">
        <v>20.0</v>
      </c>
      <c r="F23" s="18" t="s">
        <v>72</v>
      </c>
      <c r="H23" s="17" t="str">
        <f t="shared" si="1"/>
        <v>Kitchen</v>
      </c>
      <c r="I23" s="17" t="str">
        <f t="shared" si="2"/>
        <v>Microwave</v>
      </c>
      <c r="J23" s="5" t="str">
        <f t="shared" si="3"/>
        <v>09-JAN</v>
      </c>
      <c r="K23" s="17" t="str">
        <f t="shared" si="4"/>
        <v>CA</v>
      </c>
      <c r="L23" s="17" t="str">
        <f t="shared" si="5"/>
        <v>Panasonic Microwave</v>
      </c>
    </row>
    <row r="24" ht="15.75" customHeight="1">
      <c r="A24" s="11" t="s">
        <v>127</v>
      </c>
      <c r="B24" s="11" t="s">
        <v>128</v>
      </c>
      <c r="C24" s="11" t="s">
        <v>129</v>
      </c>
      <c r="D24" s="12">
        <v>150.0</v>
      </c>
      <c r="E24" s="11">
        <v>30.0</v>
      </c>
      <c r="F24" s="26" t="s">
        <v>37</v>
      </c>
      <c r="H24" s="17" t="str">
        <f t="shared" si="1"/>
        <v>Electronics</v>
      </c>
      <c r="I24" s="17" t="str">
        <f t="shared" si="2"/>
        <v>Fitness Tracker</v>
      </c>
      <c r="J24" s="5" t="str">
        <f t="shared" si="3"/>
        <v>19-JUL</v>
      </c>
      <c r="K24" s="17" t="str">
        <f t="shared" si="4"/>
        <v>BR</v>
      </c>
      <c r="L24" s="17" t="str">
        <f t="shared" si="5"/>
        <v>Xiaomi Fitness Tracker</v>
      </c>
    </row>
    <row r="25" ht="15.75" customHeight="1">
      <c r="A25" s="11" t="s">
        <v>130</v>
      </c>
      <c r="B25" s="11" t="s">
        <v>131</v>
      </c>
      <c r="C25" s="11" t="s">
        <v>132</v>
      </c>
      <c r="D25" s="12">
        <v>800.0</v>
      </c>
      <c r="E25" s="11">
        <v>45.0</v>
      </c>
      <c r="F25" s="11" t="s">
        <v>37</v>
      </c>
      <c r="H25" s="17" t="str">
        <f t="shared" si="1"/>
        <v>Electronics</v>
      </c>
      <c r="I25" s="17" t="str">
        <f t="shared" si="2"/>
        <v>Smartphone</v>
      </c>
      <c r="J25" s="5" t="str">
        <f t="shared" si="3"/>
        <v>29-SEP</v>
      </c>
      <c r="K25" s="17" t="str">
        <f t="shared" si="4"/>
        <v>CA</v>
      </c>
      <c r="L25" s="17" t="str">
        <f t="shared" si="5"/>
        <v>Google Smartphone</v>
      </c>
    </row>
    <row r="26" ht="15.75" customHeight="1">
      <c r="A26" s="18" t="s">
        <v>133</v>
      </c>
      <c r="B26" s="18" t="s">
        <v>116</v>
      </c>
      <c r="C26" s="18" t="s">
        <v>134</v>
      </c>
      <c r="D26" s="20">
        <f>AVERAGEIF(F$2:F$35, "Fashion", D$2:D$35)</f>
        <v>74</v>
      </c>
      <c r="E26" s="18">
        <v>25.0</v>
      </c>
      <c r="F26" s="18" t="s">
        <v>68</v>
      </c>
      <c r="H26" s="17" t="str">
        <f t="shared" si="1"/>
        <v>Fashion</v>
      </c>
      <c r="I26" s="17" t="str">
        <f t="shared" si="2"/>
        <v>Sunglasses</v>
      </c>
      <c r="J26" s="5" t="str">
        <f t="shared" si="3"/>
        <v>03-JUN</v>
      </c>
      <c r="K26" s="17" t="str">
        <f t="shared" si="4"/>
        <v>CA</v>
      </c>
      <c r="L26" s="17" t="str">
        <f t="shared" si="5"/>
        <v>Ray-Ban Sunglasses</v>
      </c>
    </row>
    <row r="27" ht="15.75" customHeight="1">
      <c r="A27" s="11" t="s">
        <v>135</v>
      </c>
      <c r="B27" s="11" t="s">
        <v>86</v>
      </c>
      <c r="C27" s="11" t="s">
        <v>136</v>
      </c>
      <c r="D27" s="12">
        <v>400.0</v>
      </c>
      <c r="E27" s="11">
        <v>40.0</v>
      </c>
      <c r="F27" s="11" t="s">
        <v>72</v>
      </c>
      <c r="H27" s="17" t="str">
        <f t="shared" si="1"/>
        <v>Kitchen</v>
      </c>
      <c r="I27" s="17" t="str">
        <f t="shared" si="2"/>
        <v>Blender</v>
      </c>
      <c r="J27" s="5" t="str">
        <f t="shared" si="3"/>
        <v>11-JUL</v>
      </c>
      <c r="K27" s="17" t="str">
        <f t="shared" si="4"/>
        <v>CA</v>
      </c>
      <c r="L27" s="17" t="str">
        <f t="shared" si="5"/>
        <v>Vitamix Blender</v>
      </c>
    </row>
    <row r="28" ht="15.75" customHeight="1">
      <c r="A28" s="11" t="s">
        <v>137</v>
      </c>
      <c r="B28" s="11" t="s">
        <v>138</v>
      </c>
      <c r="C28" s="11" t="s">
        <v>139</v>
      </c>
      <c r="D28" s="12">
        <v>60.0</v>
      </c>
      <c r="E28" s="11">
        <v>30.0</v>
      </c>
      <c r="F28" s="11" t="s">
        <v>68</v>
      </c>
      <c r="H28" s="17" t="str">
        <f t="shared" si="1"/>
        <v>Fashion</v>
      </c>
      <c r="I28" s="17" t="str">
        <f t="shared" si="2"/>
        <v>Dress</v>
      </c>
      <c r="J28" s="5" t="str">
        <f t="shared" si="3"/>
        <v>07-MAR</v>
      </c>
      <c r="K28" s="17" t="str">
        <f t="shared" si="4"/>
        <v>CA</v>
      </c>
      <c r="L28" s="17" t="str">
        <f t="shared" si="5"/>
        <v>Zara Dress</v>
      </c>
    </row>
    <row r="29" ht="15.75" customHeight="1">
      <c r="A29" s="18" t="s">
        <v>140</v>
      </c>
      <c r="B29" s="18" t="s">
        <v>141</v>
      </c>
      <c r="C29" s="18" t="s">
        <v>142</v>
      </c>
      <c r="D29" s="19">
        <v>40.0</v>
      </c>
      <c r="E29" s="18">
        <v>10.0</v>
      </c>
      <c r="F29" s="18" t="s">
        <v>72</v>
      </c>
      <c r="H29" s="17" t="str">
        <f t="shared" si="1"/>
        <v>Kitchen</v>
      </c>
      <c r="I29" s="17" t="str">
        <f t="shared" si="2"/>
        <v>Toaster</v>
      </c>
      <c r="J29" s="5" t="str">
        <f t="shared" si="3"/>
        <v>13-APR</v>
      </c>
      <c r="K29" s="17" t="str">
        <f t="shared" si="4"/>
        <v>CA</v>
      </c>
      <c r="L29" s="17" t="str">
        <f t="shared" si="5"/>
        <v>Hamilton Toaster</v>
      </c>
    </row>
    <row r="30" ht="15.75" customHeight="1">
      <c r="A30" s="11" t="s">
        <v>143</v>
      </c>
      <c r="B30" s="11" t="s">
        <v>128</v>
      </c>
      <c r="C30" s="11" t="s">
        <v>144</v>
      </c>
      <c r="D30" s="12">
        <v>130.0</v>
      </c>
      <c r="E30" s="11">
        <v>5.0</v>
      </c>
      <c r="F30" s="11" t="s">
        <v>37</v>
      </c>
      <c r="H30" s="17" t="str">
        <f t="shared" si="1"/>
        <v>Electronics</v>
      </c>
      <c r="I30" s="17" t="str">
        <f t="shared" si="2"/>
        <v>Fitness Tracker</v>
      </c>
      <c r="J30" s="5" t="str">
        <f t="shared" si="3"/>
        <v>24-MAY</v>
      </c>
      <c r="K30" s="17" t="str">
        <f t="shared" si="4"/>
        <v>CA</v>
      </c>
      <c r="L30" s="17" t="str">
        <f t="shared" si="5"/>
        <v>Garmin Fitness Tracker</v>
      </c>
    </row>
    <row r="31" ht="15.75" customHeight="1">
      <c r="A31" s="18" t="s">
        <v>145</v>
      </c>
      <c r="B31" s="18" t="s">
        <v>146</v>
      </c>
      <c r="C31" s="18" t="s">
        <v>147</v>
      </c>
      <c r="D31" s="19">
        <v>50.0</v>
      </c>
      <c r="E31" s="18">
        <v>50.0</v>
      </c>
      <c r="F31" s="18" t="s">
        <v>68</v>
      </c>
      <c r="H31" s="17" t="str">
        <f t="shared" si="1"/>
        <v>Fashion</v>
      </c>
      <c r="I31" s="17" t="str">
        <f t="shared" si="2"/>
        <v>Jeans</v>
      </c>
      <c r="J31" s="5" t="str">
        <f t="shared" si="3"/>
        <v>02-DEC</v>
      </c>
      <c r="K31" s="17" t="str">
        <f t="shared" si="4"/>
        <v>CA</v>
      </c>
      <c r="L31" s="17" t="str">
        <f t="shared" si="5"/>
        <v>Levi's Jeans</v>
      </c>
    </row>
    <row r="32" ht="15.75" customHeight="1">
      <c r="A32" s="18" t="s">
        <v>148</v>
      </c>
      <c r="B32" s="18" t="s">
        <v>149</v>
      </c>
      <c r="C32" s="18" t="s">
        <v>150</v>
      </c>
      <c r="D32" s="19">
        <v>100.0</v>
      </c>
      <c r="E32" s="18">
        <v>20.0</v>
      </c>
      <c r="F32" s="18" t="s">
        <v>110</v>
      </c>
      <c r="H32" s="17" t="str">
        <f t="shared" si="1"/>
        <v>Accessories</v>
      </c>
      <c r="I32" s="17" t="str">
        <f t="shared" si="2"/>
        <v>Watch</v>
      </c>
      <c r="J32" s="5" t="str">
        <f t="shared" si="3"/>
        <v>09-JUL</v>
      </c>
      <c r="K32" s="17" t="str">
        <f t="shared" si="4"/>
        <v>FR</v>
      </c>
      <c r="L32" s="17" t="str">
        <f t="shared" si="5"/>
        <v>Casio Watch</v>
      </c>
    </row>
    <row r="33" ht="15.75" customHeight="1">
      <c r="D33" s="27"/>
      <c r="H33" s="17" t="str">
        <f t="shared" si="1"/>
        <v/>
      </c>
      <c r="I33" s="17" t="str">
        <f t="shared" si="2"/>
        <v/>
      </c>
      <c r="J33" s="5"/>
    </row>
    <row r="34" ht="15.75" customHeight="1">
      <c r="D34" s="27"/>
      <c r="H34" s="17" t="str">
        <f t="shared" si="1"/>
        <v/>
      </c>
      <c r="I34" s="17" t="str">
        <f t="shared" si="2"/>
        <v/>
      </c>
      <c r="J34" s="5"/>
    </row>
    <row r="35" ht="15.75" customHeight="1">
      <c r="D35" s="27"/>
      <c r="H35" s="17" t="str">
        <f t="shared" si="1"/>
        <v/>
      </c>
      <c r="I35" s="17" t="str">
        <f t="shared" si="2"/>
        <v/>
      </c>
      <c r="J35" s="5"/>
    </row>
    <row r="36" ht="15.75" customHeight="1">
      <c r="D36" s="27"/>
      <c r="J36" s="5"/>
    </row>
    <row r="37" ht="15.75" customHeight="1">
      <c r="D37" s="27"/>
      <c r="J37" s="5"/>
    </row>
    <row r="38" ht="15.75" customHeight="1">
      <c r="D38" s="27"/>
      <c r="J38" s="5"/>
    </row>
    <row r="39" ht="15.75" customHeight="1">
      <c r="D39" s="27"/>
      <c r="J39" s="5"/>
    </row>
    <row r="40" ht="15.75" customHeight="1">
      <c r="D40" s="27"/>
      <c r="J40" s="5"/>
    </row>
    <row r="41" ht="15.75" customHeight="1">
      <c r="D41" s="27"/>
      <c r="J41" s="5"/>
    </row>
    <row r="42" ht="15.75" customHeight="1">
      <c r="D42" s="27"/>
      <c r="J42" s="5"/>
    </row>
    <row r="43" ht="15.75" customHeight="1">
      <c r="D43" s="27"/>
      <c r="J43" s="5"/>
    </row>
    <row r="44" ht="15.75" customHeight="1">
      <c r="D44" s="27"/>
      <c r="J44" s="5"/>
    </row>
    <row r="45" ht="15.75" customHeight="1">
      <c r="D45" s="27"/>
      <c r="J45" s="5"/>
    </row>
    <row r="46" ht="15.75" customHeight="1">
      <c r="D46" s="27"/>
      <c r="J46" s="5"/>
    </row>
    <row r="47" ht="15.75" customHeight="1">
      <c r="D47" s="27"/>
      <c r="J47" s="5"/>
    </row>
    <row r="48" ht="15.75" customHeight="1">
      <c r="D48" s="27"/>
      <c r="J48" s="5"/>
    </row>
    <row r="49" ht="15.75" customHeight="1">
      <c r="D49" s="27"/>
      <c r="J49" s="5"/>
    </row>
    <row r="50" ht="15.75" customHeight="1">
      <c r="D50" s="27"/>
      <c r="J50" s="5"/>
    </row>
    <row r="51" ht="15.75" customHeight="1">
      <c r="D51" s="27"/>
      <c r="J51" s="5"/>
    </row>
    <row r="52" ht="15.75" customHeight="1">
      <c r="D52" s="27"/>
      <c r="J52" s="5"/>
    </row>
    <row r="53" ht="15.75" customHeight="1">
      <c r="D53" s="27"/>
      <c r="J53" s="5"/>
    </row>
    <row r="54" ht="15.75" customHeight="1">
      <c r="D54" s="27"/>
      <c r="J54" s="5"/>
    </row>
    <row r="55" ht="15.75" customHeight="1">
      <c r="D55" s="27"/>
      <c r="J55" s="5"/>
    </row>
    <row r="56" ht="15.75" customHeight="1">
      <c r="D56" s="27"/>
      <c r="J56" s="5"/>
    </row>
    <row r="57" ht="15.75" customHeight="1">
      <c r="D57" s="27"/>
      <c r="J57" s="5"/>
    </row>
    <row r="58" ht="15.75" customHeight="1">
      <c r="D58" s="27"/>
      <c r="J58" s="5"/>
    </row>
    <row r="59" ht="15.75" customHeight="1">
      <c r="D59" s="27"/>
      <c r="J59" s="5"/>
    </row>
    <row r="60" ht="15.75" customHeight="1">
      <c r="D60" s="27"/>
      <c r="J60" s="5"/>
    </row>
    <row r="61" ht="15.75" customHeight="1">
      <c r="D61" s="27"/>
      <c r="J61" s="5"/>
    </row>
    <row r="62" ht="15.75" customHeight="1">
      <c r="D62" s="27"/>
      <c r="J62" s="5"/>
    </row>
    <row r="63" ht="15.75" customHeight="1">
      <c r="D63" s="27"/>
      <c r="J63" s="5"/>
    </row>
    <row r="64" ht="15.75" customHeight="1">
      <c r="D64" s="27"/>
      <c r="J64" s="5"/>
    </row>
    <row r="65" ht="15.75" customHeight="1">
      <c r="D65" s="27"/>
      <c r="J65" s="5"/>
    </row>
    <row r="66" ht="15.75" customHeight="1">
      <c r="D66" s="27"/>
      <c r="J66" s="5"/>
    </row>
    <row r="67" ht="15.75" customHeight="1">
      <c r="D67" s="27"/>
      <c r="J67" s="5"/>
    </row>
    <row r="68" ht="15.75" customHeight="1">
      <c r="D68" s="27"/>
      <c r="J68" s="5"/>
    </row>
    <row r="69" ht="15.75" customHeight="1">
      <c r="D69" s="27"/>
      <c r="J69" s="5"/>
    </row>
    <row r="70" ht="15.75" customHeight="1">
      <c r="D70" s="27"/>
      <c r="J70" s="5"/>
    </row>
    <row r="71" ht="15.75" customHeight="1">
      <c r="D71" s="27"/>
      <c r="J71" s="5"/>
    </row>
    <row r="72" ht="15.75" customHeight="1">
      <c r="D72" s="27"/>
      <c r="J72" s="5"/>
    </row>
    <row r="73" ht="15.75" customHeight="1">
      <c r="D73" s="27"/>
      <c r="J73" s="5"/>
    </row>
    <row r="74" ht="15.75" customHeight="1">
      <c r="D74" s="27"/>
      <c r="J74" s="5"/>
    </row>
    <row r="75" ht="15.75" customHeight="1">
      <c r="D75" s="27"/>
      <c r="J75" s="5"/>
    </row>
    <row r="76" ht="15.75" customHeight="1">
      <c r="D76" s="27"/>
      <c r="J76" s="5"/>
    </row>
    <row r="77" ht="15.75" customHeight="1">
      <c r="D77" s="27"/>
      <c r="J77" s="5"/>
    </row>
    <row r="78" ht="15.75" customHeight="1">
      <c r="D78" s="27"/>
      <c r="J78" s="5"/>
    </row>
    <row r="79" ht="15.75" customHeight="1">
      <c r="D79" s="27"/>
      <c r="J79" s="5"/>
    </row>
    <row r="80" ht="15.75" customHeight="1">
      <c r="D80" s="27"/>
      <c r="J80" s="5"/>
    </row>
    <row r="81" ht="15.75" customHeight="1">
      <c r="D81" s="27"/>
      <c r="J81" s="5"/>
    </row>
    <row r="82" ht="15.75" customHeight="1">
      <c r="D82" s="27"/>
      <c r="J82" s="5"/>
    </row>
    <row r="83" ht="15.75" customHeight="1">
      <c r="D83" s="27"/>
      <c r="J83" s="5"/>
    </row>
    <row r="84" ht="15.75" customHeight="1">
      <c r="D84" s="27"/>
      <c r="J84" s="5"/>
    </row>
    <row r="85" ht="15.75" customHeight="1">
      <c r="D85" s="27"/>
      <c r="J85" s="5"/>
    </row>
    <row r="86" ht="15.75" customHeight="1">
      <c r="D86" s="27"/>
      <c r="J86" s="5"/>
    </row>
    <row r="87" ht="15.75" customHeight="1">
      <c r="D87" s="27"/>
      <c r="J87" s="5"/>
    </row>
    <row r="88" ht="15.75" customHeight="1">
      <c r="D88" s="27"/>
      <c r="J88" s="5"/>
    </row>
    <row r="89" ht="15.75" customHeight="1">
      <c r="D89" s="27"/>
      <c r="J89" s="5"/>
    </row>
    <row r="90" ht="15.75" customHeight="1">
      <c r="D90" s="27"/>
      <c r="J90" s="5"/>
    </row>
    <row r="91" ht="15.75" customHeight="1">
      <c r="D91" s="27"/>
      <c r="J91" s="5"/>
    </row>
    <row r="92" ht="15.75" customHeight="1">
      <c r="D92" s="27"/>
      <c r="J92" s="5"/>
    </row>
    <row r="93" ht="15.75" customHeight="1">
      <c r="D93" s="27"/>
      <c r="J93" s="5"/>
    </row>
    <row r="94" ht="15.75" customHeight="1">
      <c r="D94" s="27"/>
      <c r="J94" s="5"/>
    </row>
    <row r="95" ht="15.75" customHeight="1">
      <c r="D95" s="27"/>
      <c r="J95" s="5"/>
    </row>
    <row r="96" ht="15.75" customHeight="1">
      <c r="D96" s="27"/>
      <c r="J96" s="5"/>
    </row>
    <row r="97" ht="15.75" customHeight="1">
      <c r="D97" s="27"/>
      <c r="J97" s="5"/>
    </row>
    <row r="98" ht="15.75" customHeight="1">
      <c r="D98" s="27"/>
      <c r="J98" s="5"/>
    </row>
    <row r="99" ht="15.75" customHeight="1">
      <c r="D99" s="27"/>
      <c r="J99" s="5"/>
    </row>
    <row r="100" ht="15.75" customHeight="1">
      <c r="D100" s="27"/>
      <c r="J100" s="5"/>
    </row>
    <row r="101" ht="15.75" customHeight="1">
      <c r="D101" s="27"/>
      <c r="J101" s="5"/>
    </row>
    <row r="102" ht="15.75" customHeight="1">
      <c r="D102" s="27"/>
      <c r="J102" s="5"/>
    </row>
    <row r="103" ht="15.75" customHeight="1">
      <c r="D103" s="27"/>
      <c r="J103" s="5"/>
    </row>
    <row r="104" ht="15.75" customHeight="1">
      <c r="D104" s="27"/>
      <c r="J104" s="5"/>
    </row>
    <row r="105" ht="15.75" customHeight="1">
      <c r="D105" s="27"/>
      <c r="J105" s="5"/>
    </row>
    <row r="106" ht="15.75" customHeight="1">
      <c r="D106" s="27"/>
      <c r="J106" s="5"/>
    </row>
    <row r="107" ht="15.75" customHeight="1">
      <c r="D107" s="27"/>
      <c r="J107" s="5"/>
    </row>
    <row r="108" ht="15.75" customHeight="1">
      <c r="D108" s="27"/>
      <c r="J108" s="5"/>
    </row>
    <row r="109" ht="15.75" customHeight="1">
      <c r="D109" s="27"/>
      <c r="J109" s="5"/>
    </row>
    <row r="110" ht="15.75" customHeight="1">
      <c r="D110" s="27"/>
      <c r="J110" s="5"/>
    </row>
    <row r="111" ht="15.75" customHeight="1">
      <c r="D111" s="27"/>
      <c r="J111" s="5"/>
    </row>
    <row r="112" ht="15.75" customHeight="1">
      <c r="D112" s="27"/>
      <c r="J112" s="5"/>
    </row>
    <row r="113" ht="15.75" customHeight="1">
      <c r="D113" s="27"/>
      <c r="J113" s="5"/>
    </row>
    <row r="114" ht="15.75" customHeight="1">
      <c r="D114" s="27"/>
      <c r="J114" s="5"/>
    </row>
    <row r="115" ht="15.75" customHeight="1">
      <c r="D115" s="27"/>
      <c r="J115" s="5"/>
    </row>
    <row r="116" ht="15.75" customHeight="1">
      <c r="D116" s="27"/>
      <c r="J116" s="5"/>
    </row>
    <row r="117" ht="15.75" customHeight="1">
      <c r="D117" s="27"/>
      <c r="J117" s="5"/>
    </row>
    <row r="118" ht="15.75" customHeight="1">
      <c r="D118" s="27"/>
      <c r="J118" s="5"/>
    </row>
    <row r="119" ht="15.75" customHeight="1">
      <c r="D119" s="27"/>
      <c r="J119" s="5"/>
    </row>
    <row r="120" ht="15.75" customHeight="1">
      <c r="D120" s="27"/>
      <c r="J120" s="5"/>
    </row>
    <row r="121" ht="15.75" customHeight="1">
      <c r="D121" s="27"/>
      <c r="J121" s="5"/>
    </row>
    <row r="122" ht="15.75" customHeight="1">
      <c r="D122" s="27"/>
      <c r="J122" s="5"/>
    </row>
    <row r="123" ht="15.75" customHeight="1">
      <c r="D123" s="27"/>
      <c r="J123" s="5"/>
    </row>
    <row r="124" ht="15.75" customHeight="1">
      <c r="D124" s="27"/>
      <c r="J124" s="5"/>
    </row>
    <row r="125" ht="15.75" customHeight="1">
      <c r="D125" s="27"/>
      <c r="J125" s="5"/>
    </row>
    <row r="126" ht="15.75" customHeight="1">
      <c r="D126" s="27"/>
      <c r="J126" s="5"/>
    </row>
    <row r="127" ht="15.75" customHeight="1">
      <c r="D127" s="27"/>
      <c r="J127" s="5"/>
    </row>
    <row r="128" ht="15.75" customHeight="1">
      <c r="D128" s="27"/>
      <c r="J128" s="5"/>
    </row>
    <row r="129" ht="15.75" customHeight="1">
      <c r="D129" s="27"/>
      <c r="J129" s="5"/>
    </row>
    <row r="130" ht="15.75" customHeight="1">
      <c r="D130" s="27"/>
      <c r="J130" s="5"/>
    </row>
    <row r="131" ht="15.75" customHeight="1">
      <c r="D131" s="27"/>
      <c r="J131" s="5"/>
    </row>
    <row r="132" ht="15.75" customHeight="1">
      <c r="D132" s="27"/>
      <c r="J132" s="5"/>
    </row>
    <row r="133" ht="15.75" customHeight="1">
      <c r="D133" s="27"/>
      <c r="J133" s="5"/>
    </row>
    <row r="134" ht="15.75" customHeight="1">
      <c r="D134" s="27"/>
      <c r="J134" s="5"/>
    </row>
    <row r="135" ht="15.75" customHeight="1">
      <c r="D135" s="27"/>
      <c r="J135" s="5"/>
    </row>
    <row r="136" ht="15.75" customHeight="1">
      <c r="D136" s="27"/>
      <c r="J136" s="5"/>
    </row>
    <row r="137" ht="15.75" customHeight="1">
      <c r="D137" s="27"/>
      <c r="J137" s="5"/>
    </row>
    <row r="138" ht="15.75" customHeight="1">
      <c r="D138" s="27"/>
      <c r="J138" s="5"/>
    </row>
    <row r="139" ht="15.75" customHeight="1">
      <c r="D139" s="27"/>
      <c r="J139" s="5"/>
    </row>
    <row r="140" ht="15.75" customHeight="1">
      <c r="D140" s="27"/>
      <c r="J140" s="5"/>
    </row>
    <row r="141" ht="15.75" customHeight="1">
      <c r="D141" s="27"/>
      <c r="J141" s="5"/>
    </row>
    <row r="142" ht="15.75" customHeight="1">
      <c r="D142" s="27"/>
      <c r="J142" s="5"/>
    </row>
    <row r="143" ht="15.75" customHeight="1">
      <c r="D143" s="27"/>
      <c r="J143" s="5"/>
    </row>
    <row r="144" ht="15.75" customHeight="1">
      <c r="D144" s="27"/>
      <c r="J144" s="5"/>
    </row>
    <row r="145" ht="15.75" customHeight="1">
      <c r="D145" s="27"/>
      <c r="J145" s="5"/>
    </row>
    <row r="146" ht="15.75" customHeight="1">
      <c r="D146" s="27"/>
      <c r="J146" s="5"/>
    </row>
    <row r="147" ht="15.75" customHeight="1">
      <c r="D147" s="27"/>
      <c r="J147" s="5"/>
    </row>
    <row r="148" ht="15.75" customHeight="1">
      <c r="D148" s="27"/>
      <c r="J148" s="5"/>
    </row>
    <row r="149" ht="15.75" customHeight="1">
      <c r="D149" s="27"/>
      <c r="J149" s="5"/>
    </row>
    <row r="150" ht="15.75" customHeight="1">
      <c r="D150" s="27"/>
      <c r="J150" s="5"/>
    </row>
    <row r="151" ht="15.75" customHeight="1">
      <c r="D151" s="27"/>
      <c r="J151" s="5"/>
    </row>
    <row r="152" ht="15.75" customHeight="1">
      <c r="D152" s="27"/>
      <c r="J152" s="5"/>
    </row>
    <row r="153" ht="15.75" customHeight="1">
      <c r="D153" s="27"/>
      <c r="J153" s="5"/>
    </row>
    <row r="154" ht="15.75" customHeight="1">
      <c r="D154" s="27"/>
      <c r="J154" s="5"/>
    </row>
    <row r="155" ht="15.75" customHeight="1">
      <c r="D155" s="27"/>
      <c r="J155" s="5"/>
    </row>
    <row r="156" ht="15.75" customHeight="1">
      <c r="D156" s="27"/>
      <c r="J156" s="5"/>
    </row>
    <row r="157" ht="15.75" customHeight="1">
      <c r="D157" s="27"/>
      <c r="J157" s="5"/>
    </row>
    <row r="158" ht="15.75" customHeight="1">
      <c r="D158" s="27"/>
      <c r="J158" s="5"/>
    </row>
    <row r="159" ht="15.75" customHeight="1">
      <c r="D159" s="27"/>
      <c r="J159" s="5"/>
    </row>
    <row r="160" ht="15.75" customHeight="1">
      <c r="D160" s="27"/>
      <c r="J160" s="5"/>
    </row>
    <row r="161" ht="15.75" customHeight="1">
      <c r="D161" s="27"/>
      <c r="J161" s="5"/>
    </row>
    <row r="162" ht="15.75" customHeight="1">
      <c r="D162" s="27"/>
      <c r="J162" s="5"/>
    </row>
    <row r="163" ht="15.75" customHeight="1">
      <c r="D163" s="27"/>
      <c r="J163" s="5"/>
    </row>
    <row r="164" ht="15.75" customHeight="1">
      <c r="D164" s="27"/>
      <c r="J164" s="5"/>
    </row>
    <row r="165" ht="15.75" customHeight="1">
      <c r="D165" s="27"/>
      <c r="J165" s="5"/>
    </row>
    <row r="166" ht="15.75" customHeight="1">
      <c r="D166" s="27"/>
      <c r="J166" s="5"/>
    </row>
    <row r="167" ht="15.75" customHeight="1">
      <c r="D167" s="27"/>
      <c r="J167" s="5"/>
    </row>
    <row r="168" ht="15.75" customHeight="1">
      <c r="D168" s="27"/>
      <c r="J168" s="5"/>
    </row>
    <row r="169" ht="15.75" customHeight="1">
      <c r="D169" s="27"/>
      <c r="J169" s="5"/>
    </row>
    <row r="170" ht="15.75" customHeight="1">
      <c r="D170" s="27"/>
      <c r="J170" s="5"/>
    </row>
    <row r="171" ht="15.75" customHeight="1">
      <c r="D171" s="27"/>
      <c r="J171" s="5"/>
    </row>
    <row r="172" ht="15.75" customHeight="1">
      <c r="D172" s="27"/>
      <c r="J172" s="5"/>
    </row>
    <row r="173" ht="15.75" customHeight="1">
      <c r="D173" s="27"/>
      <c r="J173" s="5"/>
    </row>
    <row r="174" ht="15.75" customHeight="1">
      <c r="D174" s="27"/>
      <c r="J174" s="5"/>
    </row>
    <row r="175" ht="15.75" customHeight="1">
      <c r="D175" s="27"/>
      <c r="J175" s="5"/>
    </row>
    <row r="176" ht="15.75" customHeight="1">
      <c r="D176" s="27"/>
      <c r="J176" s="5"/>
    </row>
    <row r="177" ht="15.75" customHeight="1">
      <c r="D177" s="27"/>
      <c r="J177" s="5"/>
    </row>
    <row r="178" ht="15.75" customHeight="1">
      <c r="D178" s="27"/>
      <c r="J178" s="5"/>
    </row>
    <row r="179" ht="15.75" customHeight="1">
      <c r="D179" s="27"/>
      <c r="J179" s="5"/>
    </row>
    <row r="180" ht="15.75" customHeight="1">
      <c r="D180" s="27"/>
      <c r="J180" s="5"/>
    </row>
    <row r="181" ht="15.75" customHeight="1">
      <c r="D181" s="27"/>
      <c r="J181" s="5"/>
    </row>
    <row r="182" ht="15.75" customHeight="1">
      <c r="D182" s="27"/>
      <c r="J182" s="5"/>
    </row>
    <row r="183" ht="15.75" customHeight="1">
      <c r="D183" s="27"/>
      <c r="J183" s="5"/>
    </row>
    <row r="184" ht="15.75" customHeight="1">
      <c r="D184" s="27"/>
      <c r="J184" s="5"/>
    </row>
    <row r="185" ht="15.75" customHeight="1">
      <c r="D185" s="27"/>
      <c r="J185" s="5"/>
    </row>
    <row r="186" ht="15.75" customHeight="1">
      <c r="D186" s="27"/>
      <c r="J186" s="5"/>
    </row>
    <row r="187" ht="15.75" customHeight="1">
      <c r="D187" s="27"/>
      <c r="J187" s="5"/>
    </row>
    <row r="188" ht="15.75" customHeight="1">
      <c r="D188" s="27"/>
      <c r="J188" s="5"/>
    </row>
    <row r="189" ht="15.75" customHeight="1">
      <c r="D189" s="27"/>
      <c r="J189" s="5"/>
    </row>
    <row r="190" ht="15.75" customHeight="1">
      <c r="D190" s="27"/>
      <c r="J190" s="5"/>
    </row>
    <row r="191" ht="15.75" customHeight="1">
      <c r="D191" s="27"/>
      <c r="J191" s="5"/>
    </row>
    <row r="192" ht="15.75" customHeight="1">
      <c r="D192" s="27"/>
      <c r="J192" s="5"/>
    </row>
    <row r="193" ht="15.75" customHeight="1">
      <c r="D193" s="27"/>
      <c r="J193" s="5"/>
    </row>
    <row r="194" ht="15.75" customHeight="1">
      <c r="D194" s="27"/>
      <c r="J194" s="5"/>
    </row>
    <row r="195" ht="15.75" customHeight="1">
      <c r="D195" s="27"/>
      <c r="J195" s="5"/>
    </row>
    <row r="196" ht="15.75" customHeight="1">
      <c r="D196" s="27"/>
      <c r="J196" s="5"/>
    </row>
    <row r="197" ht="15.75" customHeight="1">
      <c r="D197" s="27"/>
      <c r="J197" s="5"/>
    </row>
    <row r="198" ht="15.75" customHeight="1">
      <c r="D198" s="27"/>
      <c r="J198" s="5"/>
    </row>
    <row r="199" ht="15.75" customHeight="1">
      <c r="D199" s="27"/>
      <c r="J199" s="5"/>
    </row>
    <row r="200" ht="15.75" customHeight="1">
      <c r="D200" s="27"/>
      <c r="J200" s="5"/>
    </row>
    <row r="201" ht="15.75" customHeight="1">
      <c r="D201" s="27"/>
      <c r="J201" s="5"/>
    </row>
    <row r="202" ht="15.75" customHeight="1">
      <c r="D202" s="27"/>
      <c r="J202" s="5"/>
    </row>
    <row r="203" ht="15.75" customHeight="1">
      <c r="D203" s="27"/>
      <c r="J203" s="5"/>
    </row>
    <row r="204" ht="15.75" customHeight="1">
      <c r="D204" s="27"/>
      <c r="J204" s="5"/>
    </row>
    <row r="205" ht="15.75" customHeight="1">
      <c r="D205" s="27"/>
      <c r="J205" s="5"/>
    </row>
    <row r="206" ht="15.75" customHeight="1">
      <c r="D206" s="27"/>
      <c r="J206" s="5"/>
    </row>
    <row r="207" ht="15.75" customHeight="1">
      <c r="D207" s="27"/>
      <c r="J207" s="5"/>
    </row>
    <row r="208" ht="15.75" customHeight="1">
      <c r="D208" s="27"/>
      <c r="J208" s="5"/>
    </row>
    <row r="209" ht="15.75" customHeight="1">
      <c r="D209" s="27"/>
      <c r="J209" s="5"/>
    </row>
    <row r="210" ht="15.75" customHeight="1">
      <c r="D210" s="27"/>
      <c r="J210" s="5"/>
    </row>
    <row r="211" ht="15.75" customHeight="1">
      <c r="D211" s="27"/>
      <c r="J211" s="5"/>
    </row>
    <row r="212" ht="15.75" customHeight="1">
      <c r="D212" s="27"/>
      <c r="J212" s="5"/>
    </row>
    <row r="213" ht="15.75" customHeight="1">
      <c r="D213" s="27"/>
      <c r="J213" s="5"/>
    </row>
    <row r="214" ht="15.75" customHeight="1">
      <c r="D214" s="27"/>
      <c r="J214" s="5"/>
    </row>
    <row r="215" ht="15.75" customHeight="1">
      <c r="D215" s="27"/>
      <c r="J215" s="5"/>
    </row>
    <row r="216" ht="15.75" customHeight="1">
      <c r="D216" s="27"/>
      <c r="J216" s="5"/>
    </row>
    <row r="217" ht="15.75" customHeight="1">
      <c r="D217" s="27"/>
      <c r="J217" s="5"/>
    </row>
    <row r="218" ht="15.75" customHeight="1">
      <c r="D218" s="27"/>
      <c r="J218" s="5"/>
    </row>
    <row r="219" ht="15.75" customHeight="1">
      <c r="D219" s="27"/>
      <c r="J219" s="5"/>
    </row>
    <row r="220" ht="15.75" customHeight="1">
      <c r="D220" s="27"/>
      <c r="J220" s="5"/>
    </row>
    <row r="221" ht="15.75" customHeight="1">
      <c r="D221" s="27"/>
      <c r="J221" s="5"/>
    </row>
    <row r="222" ht="15.75" customHeight="1">
      <c r="D222" s="27"/>
      <c r="J222" s="5"/>
    </row>
    <row r="223" ht="15.75" customHeight="1">
      <c r="D223" s="27"/>
      <c r="J223" s="5"/>
    </row>
    <row r="224" ht="15.75" customHeight="1">
      <c r="D224" s="27"/>
      <c r="J224" s="5"/>
    </row>
    <row r="225" ht="15.75" customHeight="1">
      <c r="D225" s="27"/>
      <c r="J225" s="5"/>
    </row>
    <row r="226" ht="15.75" customHeight="1">
      <c r="D226" s="27"/>
      <c r="J226" s="5"/>
    </row>
    <row r="227" ht="15.75" customHeight="1">
      <c r="D227" s="27"/>
      <c r="J227" s="5"/>
    </row>
    <row r="228" ht="15.75" customHeight="1">
      <c r="D228" s="27"/>
      <c r="J228" s="5"/>
    </row>
    <row r="229" ht="15.75" customHeight="1">
      <c r="D229" s="27"/>
      <c r="J229" s="5"/>
    </row>
    <row r="230" ht="15.75" customHeight="1">
      <c r="D230" s="27"/>
      <c r="J230" s="5"/>
    </row>
    <row r="231" ht="15.75" customHeight="1">
      <c r="D231" s="27"/>
      <c r="J231" s="5"/>
    </row>
    <row r="232" ht="15.75" customHeight="1">
      <c r="D232" s="27"/>
      <c r="J232" s="5"/>
    </row>
    <row r="233" ht="15.75" customHeight="1">
      <c r="D233" s="27"/>
      <c r="J233" s="5"/>
    </row>
    <row r="234" ht="15.75" customHeight="1">
      <c r="D234" s="27"/>
      <c r="J234" s="5"/>
    </row>
    <row r="235" ht="15.75" customHeight="1">
      <c r="D235" s="27"/>
      <c r="J235" s="5"/>
    </row>
    <row r="236" ht="15.75" customHeight="1">
      <c r="D236" s="27"/>
      <c r="J236" s="5"/>
    </row>
    <row r="237" ht="15.75" customHeight="1">
      <c r="D237" s="27"/>
      <c r="J237" s="5"/>
    </row>
    <row r="238" ht="15.75" customHeight="1">
      <c r="D238" s="27"/>
      <c r="J238" s="5"/>
    </row>
    <row r="239" ht="15.75" customHeight="1">
      <c r="D239" s="27"/>
      <c r="J239" s="5"/>
    </row>
    <row r="240" ht="15.75" customHeight="1">
      <c r="D240" s="27"/>
      <c r="J240" s="5"/>
    </row>
    <row r="241" ht="15.75" customHeight="1">
      <c r="D241" s="27"/>
      <c r="J241" s="5"/>
    </row>
    <row r="242" ht="15.75" customHeight="1">
      <c r="D242" s="27"/>
      <c r="J242" s="5"/>
    </row>
    <row r="243" ht="15.75" customHeight="1">
      <c r="D243" s="27"/>
      <c r="J243" s="5"/>
    </row>
    <row r="244" ht="15.75" customHeight="1">
      <c r="D244" s="27"/>
      <c r="J244" s="5"/>
    </row>
    <row r="245" ht="15.75" customHeight="1">
      <c r="D245" s="27"/>
      <c r="J245" s="5"/>
    </row>
    <row r="246" ht="15.75" customHeight="1">
      <c r="D246" s="27"/>
      <c r="J246" s="5"/>
    </row>
    <row r="247" ht="15.75" customHeight="1">
      <c r="D247" s="27"/>
      <c r="J247" s="5"/>
    </row>
    <row r="248" ht="15.75" customHeight="1">
      <c r="D248" s="27"/>
      <c r="J248" s="5"/>
    </row>
    <row r="249" ht="15.75" customHeight="1">
      <c r="D249" s="27"/>
      <c r="J249" s="5"/>
    </row>
    <row r="250" ht="15.75" customHeight="1">
      <c r="D250" s="27"/>
      <c r="J250" s="5"/>
    </row>
    <row r="251" ht="15.75" customHeight="1">
      <c r="D251" s="27"/>
      <c r="J251" s="5"/>
    </row>
    <row r="252" ht="15.75" customHeight="1">
      <c r="D252" s="27"/>
      <c r="J252" s="5"/>
    </row>
    <row r="253" ht="15.75" customHeight="1">
      <c r="D253" s="27"/>
      <c r="J253" s="5"/>
    </row>
    <row r="254" ht="15.75" customHeight="1">
      <c r="D254" s="27"/>
      <c r="J254" s="5"/>
    </row>
    <row r="255" ht="15.75" customHeight="1">
      <c r="D255" s="27"/>
      <c r="J255" s="5"/>
    </row>
    <row r="256" ht="15.75" customHeight="1">
      <c r="D256" s="27"/>
      <c r="J256" s="5"/>
    </row>
    <row r="257" ht="15.75" customHeight="1">
      <c r="D257" s="27"/>
      <c r="J257" s="5"/>
    </row>
    <row r="258" ht="15.75" customHeight="1">
      <c r="D258" s="27"/>
      <c r="J258" s="5"/>
    </row>
    <row r="259" ht="15.75" customHeight="1">
      <c r="D259" s="27"/>
      <c r="J259" s="5"/>
    </row>
    <row r="260" ht="15.75" customHeight="1">
      <c r="D260" s="27"/>
      <c r="J260" s="5"/>
    </row>
    <row r="261" ht="15.75" customHeight="1">
      <c r="D261" s="27"/>
      <c r="J261" s="5"/>
    </row>
    <row r="262" ht="15.75" customHeight="1">
      <c r="D262" s="27"/>
      <c r="J262" s="5"/>
    </row>
    <row r="263" ht="15.75" customHeight="1">
      <c r="D263" s="27"/>
      <c r="J263" s="5"/>
    </row>
    <row r="264" ht="15.75" customHeight="1">
      <c r="D264" s="27"/>
      <c r="J264" s="5"/>
    </row>
    <row r="265" ht="15.75" customHeight="1">
      <c r="D265" s="27"/>
      <c r="J265" s="5"/>
    </row>
    <row r="266" ht="15.75" customHeight="1">
      <c r="D266" s="27"/>
      <c r="J266" s="5"/>
    </row>
    <row r="267" ht="15.75" customHeight="1">
      <c r="D267" s="27"/>
      <c r="J267" s="5"/>
    </row>
    <row r="268" ht="15.75" customHeight="1">
      <c r="D268" s="27"/>
      <c r="J268" s="5"/>
    </row>
    <row r="269" ht="15.75" customHeight="1">
      <c r="D269" s="27"/>
      <c r="J269" s="5"/>
    </row>
    <row r="270" ht="15.75" customHeight="1">
      <c r="D270" s="27"/>
      <c r="J270" s="5"/>
    </row>
    <row r="271" ht="15.75" customHeight="1">
      <c r="D271" s="27"/>
      <c r="J271" s="5"/>
    </row>
    <row r="272" ht="15.75" customHeight="1">
      <c r="D272" s="27"/>
      <c r="J272" s="5"/>
    </row>
    <row r="273" ht="15.75" customHeight="1">
      <c r="D273" s="27"/>
      <c r="J273" s="5"/>
    </row>
    <row r="274" ht="15.75" customHeight="1">
      <c r="D274" s="27"/>
      <c r="J274" s="5"/>
    </row>
    <row r="275" ht="15.75" customHeight="1">
      <c r="D275" s="27"/>
      <c r="J275" s="5"/>
    </row>
    <row r="276" ht="15.75" customHeight="1">
      <c r="D276" s="27"/>
      <c r="J276" s="5"/>
    </row>
    <row r="277" ht="15.75" customHeight="1">
      <c r="D277" s="27"/>
      <c r="J277" s="5"/>
    </row>
    <row r="278" ht="15.75" customHeight="1">
      <c r="D278" s="27"/>
      <c r="J278" s="5"/>
    </row>
    <row r="279" ht="15.75" customHeight="1">
      <c r="D279" s="27"/>
      <c r="J279" s="5"/>
    </row>
    <row r="280" ht="15.75" customHeight="1">
      <c r="D280" s="27"/>
      <c r="J280" s="5"/>
    </row>
    <row r="281" ht="15.75" customHeight="1">
      <c r="D281" s="27"/>
      <c r="J281" s="5"/>
    </row>
    <row r="282" ht="15.75" customHeight="1">
      <c r="D282" s="27"/>
      <c r="J282" s="5"/>
    </row>
    <row r="283" ht="15.75" customHeight="1">
      <c r="D283" s="27"/>
      <c r="J283" s="5"/>
    </row>
    <row r="284" ht="15.75" customHeight="1">
      <c r="D284" s="27"/>
      <c r="J284" s="5"/>
    </row>
    <row r="285" ht="15.75" customHeight="1">
      <c r="D285" s="27"/>
      <c r="J285" s="5"/>
    </row>
    <row r="286" ht="15.75" customHeight="1">
      <c r="D286" s="27"/>
      <c r="J286" s="5"/>
    </row>
    <row r="287" ht="15.75" customHeight="1">
      <c r="D287" s="27"/>
      <c r="J287" s="5"/>
    </row>
    <row r="288" ht="15.75" customHeight="1">
      <c r="D288" s="27"/>
      <c r="J288" s="5"/>
    </row>
    <row r="289" ht="15.75" customHeight="1">
      <c r="D289" s="27"/>
      <c r="J289" s="5"/>
    </row>
    <row r="290" ht="15.75" customHeight="1">
      <c r="D290" s="27"/>
      <c r="J290" s="5"/>
    </row>
    <row r="291" ht="15.75" customHeight="1">
      <c r="D291" s="27"/>
      <c r="J291" s="5"/>
    </row>
    <row r="292" ht="15.75" customHeight="1">
      <c r="D292" s="27"/>
      <c r="J292" s="5"/>
    </row>
    <row r="293" ht="15.75" customHeight="1">
      <c r="D293" s="27"/>
      <c r="J293" s="5"/>
    </row>
    <row r="294" ht="15.75" customHeight="1">
      <c r="D294" s="27"/>
      <c r="J294" s="5"/>
    </row>
    <row r="295" ht="15.75" customHeight="1">
      <c r="D295" s="27"/>
      <c r="J295" s="5"/>
    </row>
    <row r="296" ht="15.75" customHeight="1">
      <c r="D296" s="27"/>
      <c r="J296" s="5"/>
    </row>
    <row r="297" ht="15.75" customHeight="1">
      <c r="D297" s="27"/>
      <c r="J297" s="5"/>
    </row>
    <row r="298" ht="15.75" customHeight="1">
      <c r="D298" s="27"/>
      <c r="J298" s="5"/>
    </row>
    <row r="299" ht="15.75" customHeight="1">
      <c r="D299" s="27"/>
      <c r="J299" s="5"/>
    </row>
    <row r="300" ht="15.75" customHeight="1">
      <c r="D300" s="27"/>
      <c r="J300" s="5"/>
    </row>
    <row r="301" ht="15.75" customHeight="1">
      <c r="D301" s="27"/>
      <c r="J301" s="5"/>
    </row>
    <row r="302" ht="15.75" customHeight="1">
      <c r="D302" s="27"/>
      <c r="J302" s="5"/>
    </row>
    <row r="303" ht="15.75" customHeight="1">
      <c r="D303" s="27"/>
      <c r="J303" s="5"/>
    </row>
    <row r="304" ht="15.75" customHeight="1">
      <c r="D304" s="27"/>
      <c r="J304" s="5"/>
    </row>
    <row r="305" ht="15.75" customHeight="1">
      <c r="D305" s="27"/>
      <c r="J305" s="5"/>
    </row>
    <row r="306" ht="15.75" customHeight="1">
      <c r="D306" s="27"/>
      <c r="J306" s="5"/>
    </row>
    <row r="307" ht="15.75" customHeight="1">
      <c r="D307" s="27"/>
      <c r="J307" s="5"/>
    </row>
    <row r="308" ht="15.75" customHeight="1">
      <c r="D308" s="27"/>
      <c r="J308" s="5"/>
    </row>
    <row r="309" ht="15.75" customHeight="1">
      <c r="D309" s="27"/>
      <c r="J309" s="5"/>
    </row>
    <row r="310" ht="15.75" customHeight="1">
      <c r="D310" s="27"/>
      <c r="J310" s="5"/>
    </row>
    <row r="311" ht="15.75" customHeight="1">
      <c r="D311" s="27"/>
      <c r="J311" s="5"/>
    </row>
    <row r="312" ht="15.75" customHeight="1">
      <c r="D312" s="27"/>
      <c r="J312" s="5"/>
    </row>
    <row r="313" ht="15.75" customHeight="1">
      <c r="D313" s="27"/>
      <c r="J313" s="5"/>
    </row>
    <row r="314" ht="15.75" customHeight="1">
      <c r="D314" s="27"/>
      <c r="J314" s="5"/>
    </row>
    <row r="315" ht="15.75" customHeight="1">
      <c r="D315" s="27"/>
      <c r="J315" s="5"/>
    </row>
    <row r="316" ht="15.75" customHeight="1">
      <c r="D316" s="27"/>
      <c r="J316" s="5"/>
    </row>
    <row r="317" ht="15.75" customHeight="1">
      <c r="D317" s="27"/>
      <c r="J317" s="5"/>
    </row>
    <row r="318" ht="15.75" customHeight="1">
      <c r="D318" s="27"/>
      <c r="J318" s="5"/>
    </row>
    <row r="319" ht="15.75" customHeight="1">
      <c r="D319" s="27"/>
      <c r="J319" s="5"/>
    </row>
    <row r="320" ht="15.75" customHeight="1">
      <c r="D320" s="27"/>
      <c r="J320" s="5"/>
    </row>
    <row r="321" ht="15.75" customHeight="1">
      <c r="D321" s="27"/>
      <c r="J321" s="5"/>
    </row>
    <row r="322" ht="15.75" customHeight="1">
      <c r="D322" s="27"/>
      <c r="J322" s="5"/>
    </row>
    <row r="323" ht="15.75" customHeight="1">
      <c r="D323" s="27"/>
      <c r="J323" s="5"/>
    </row>
    <row r="324" ht="15.75" customHeight="1">
      <c r="D324" s="27"/>
      <c r="J324" s="5"/>
    </row>
    <row r="325" ht="15.75" customHeight="1">
      <c r="D325" s="27"/>
      <c r="J325" s="5"/>
    </row>
    <row r="326" ht="15.75" customHeight="1">
      <c r="D326" s="27"/>
      <c r="J326" s="5"/>
    </row>
    <row r="327" ht="15.75" customHeight="1">
      <c r="D327" s="27"/>
      <c r="J327" s="5"/>
    </row>
    <row r="328" ht="15.75" customHeight="1">
      <c r="D328" s="27"/>
      <c r="J328" s="5"/>
    </row>
    <row r="329" ht="15.75" customHeight="1">
      <c r="D329" s="27"/>
      <c r="J329" s="5"/>
    </row>
    <row r="330" ht="15.75" customHeight="1">
      <c r="D330" s="27"/>
      <c r="J330" s="5"/>
    </row>
    <row r="331" ht="15.75" customHeight="1">
      <c r="D331" s="27"/>
      <c r="J331" s="5"/>
    </row>
    <row r="332" ht="15.75" customHeight="1">
      <c r="D332" s="27"/>
      <c r="J332" s="5"/>
    </row>
    <row r="333" ht="15.75" customHeight="1">
      <c r="D333" s="27"/>
      <c r="J333" s="5"/>
    </row>
    <row r="334" ht="15.75" customHeight="1">
      <c r="D334" s="27"/>
      <c r="J334" s="5"/>
    </row>
    <row r="335" ht="15.75" customHeight="1">
      <c r="D335" s="27"/>
      <c r="J335" s="5"/>
    </row>
    <row r="336" ht="15.75" customHeight="1">
      <c r="D336" s="27"/>
      <c r="J336" s="5"/>
    </row>
    <row r="337" ht="15.75" customHeight="1">
      <c r="D337" s="27"/>
      <c r="J337" s="5"/>
    </row>
    <row r="338" ht="15.75" customHeight="1">
      <c r="D338" s="27"/>
      <c r="J338" s="5"/>
    </row>
    <row r="339" ht="15.75" customHeight="1">
      <c r="D339" s="27"/>
      <c r="J339" s="5"/>
    </row>
    <row r="340" ht="15.75" customHeight="1">
      <c r="D340" s="27"/>
      <c r="J340" s="5"/>
    </row>
    <row r="341" ht="15.75" customHeight="1">
      <c r="D341" s="27"/>
      <c r="J341" s="5"/>
    </row>
    <row r="342" ht="15.75" customHeight="1">
      <c r="D342" s="27"/>
      <c r="J342" s="5"/>
    </row>
    <row r="343" ht="15.75" customHeight="1">
      <c r="D343" s="27"/>
      <c r="J343" s="5"/>
    </row>
    <row r="344" ht="15.75" customHeight="1">
      <c r="D344" s="27"/>
      <c r="J344" s="5"/>
    </row>
    <row r="345" ht="15.75" customHeight="1">
      <c r="D345" s="27"/>
      <c r="J345" s="5"/>
    </row>
    <row r="346" ht="15.75" customHeight="1">
      <c r="D346" s="27"/>
      <c r="J346" s="5"/>
    </row>
    <row r="347" ht="15.75" customHeight="1">
      <c r="D347" s="27"/>
      <c r="J347" s="5"/>
    </row>
    <row r="348" ht="15.75" customHeight="1">
      <c r="D348" s="27"/>
      <c r="J348" s="5"/>
    </row>
    <row r="349" ht="15.75" customHeight="1">
      <c r="D349" s="27"/>
      <c r="J349" s="5"/>
    </row>
    <row r="350" ht="15.75" customHeight="1">
      <c r="D350" s="27"/>
      <c r="J350" s="5"/>
    </row>
    <row r="351" ht="15.75" customHeight="1">
      <c r="D351" s="27"/>
      <c r="J351" s="5"/>
    </row>
    <row r="352" ht="15.75" customHeight="1">
      <c r="D352" s="27"/>
      <c r="J352" s="5"/>
    </row>
    <row r="353" ht="15.75" customHeight="1">
      <c r="D353" s="27"/>
      <c r="J353" s="5"/>
    </row>
    <row r="354" ht="15.75" customHeight="1">
      <c r="D354" s="27"/>
      <c r="J354" s="5"/>
    </row>
    <row r="355" ht="15.75" customHeight="1">
      <c r="D355" s="27"/>
      <c r="J355" s="5"/>
    </row>
    <row r="356" ht="15.75" customHeight="1">
      <c r="D356" s="27"/>
      <c r="J356" s="5"/>
    </row>
    <row r="357" ht="15.75" customHeight="1">
      <c r="D357" s="27"/>
      <c r="J357" s="5"/>
    </row>
    <row r="358" ht="15.75" customHeight="1">
      <c r="D358" s="27"/>
      <c r="J358" s="5"/>
    </row>
    <row r="359" ht="15.75" customHeight="1">
      <c r="D359" s="27"/>
      <c r="J359" s="5"/>
    </row>
    <row r="360" ht="15.75" customHeight="1">
      <c r="D360" s="27"/>
      <c r="J360" s="5"/>
    </row>
    <row r="361" ht="15.75" customHeight="1">
      <c r="D361" s="27"/>
      <c r="J361" s="5"/>
    </row>
    <row r="362" ht="15.75" customHeight="1">
      <c r="D362" s="27"/>
      <c r="J362" s="5"/>
    </row>
    <row r="363" ht="15.75" customHeight="1">
      <c r="D363" s="27"/>
      <c r="J363" s="5"/>
    </row>
    <row r="364" ht="15.75" customHeight="1">
      <c r="D364" s="27"/>
      <c r="J364" s="5"/>
    </row>
    <row r="365" ht="15.75" customHeight="1">
      <c r="D365" s="27"/>
      <c r="J365" s="5"/>
    </row>
    <row r="366" ht="15.75" customHeight="1">
      <c r="D366" s="27"/>
      <c r="J366" s="5"/>
    </row>
    <row r="367" ht="15.75" customHeight="1">
      <c r="D367" s="27"/>
      <c r="J367" s="5"/>
    </row>
    <row r="368" ht="15.75" customHeight="1">
      <c r="D368" s="27"/>
      <c r="J368" s="5"/>
    </row>
    <row r="369" ht="15.75" customHeight="1">
      <c r="D369" s="27"/>
      <c r="J369" s="5"/>
    </row>
    <row r="370" ht="15.75" customHeight="1">
      <c r="D370" s="27"/>
      <c r="J370" s="5"/>
    </row>
    <row r="371" ht="15.75" customHeight="1">
      <c r="D371" s="27"/>
      <c r="J371" s="5"/>
    </row>
    <row r="372" ht="15.75" customHeight="1">
      <c r="D372" s="27"/>
      <c r="J372" s="5"/>
    </row>
    <row r="373" ht="15.75" customHeight="1">
      <c r="D373" s="27"/>
      <c r="J373" s="5"/>
    </row>
    <row r="374" ht="15.75" customHeight="1">
      <c r="D374" s="27"/>
      <c r="J374" s="5"/>
    </row>
    <row r="375" ht="15.75" customHeight="1">
      <c r="D375" s="27"/>
      <c r="J375" s="5"/>
    </row>
    <row r="376" ht="15.75" customHeight="1">
      <c r="D376" s="27"/>
      <c r="J376" s="5"/>
    </row>
    <row r="377" ht="15.75" customHeight="1">
      <c r="D377" s="27"/>
      <c r="J377" s="5"/>
    </row>
    <row r="378" ht="15.75" customHeight="1">
      <c r="D378" s="27"/>
      <c r="J378" s="5"/>
    </row>
    <row r="379" ht="15.75" customHeight="1">
      <c r="D379" s="27"/>
      <c r="J379" s="5"/>
    </row>
    <row r="380" ht="15.75" customHeight="1">
      <c r="D380" s="27"/>
      <c r="J380" s="5"/>
    </row>
    <row r="381" ht="15.75" customHeight="1">
      <c r="D381" s="27"/>
      <c r="J381" s="5"/>
    </row>
    <row r="382" ht="15.75" customHeight="1">
      <c r="D382" s="27"/>
      <c r="J382" s="5"/>
    </row>
    <row r="383" ht="15.75" customHeight="1">
      <c r="D383" s="27"/>
      <c r="J383" s="5"/>
    </row>
    <row r="384" ht="15.75" customHeight="1">
      <c r="D384" s="27"/>
      <c r="J384" s="5"/>
    </row>
    <row r="385" ht="15.75" customHeight="1">
      <c r="D385" s="27"/>
      <c r="J385" s="5"/>
    </row>
    <row r="386" ht="15.75" customHeight="1">
      <c r="D386" s="27"/>
      <c r="J386" s="5"/>
    </row>
    <row r="387" ht="15.75" customHeight="1">
      <c r="D387" s="27"/>
      <c r="J387" s="5"/>
    </row>
    <row r="388" ht="15.75" customHeight="1">
      <c r="D388" s="27"/>
      <c r="J388" s="5"/>
    </row>
    <row r="389" ht="15.75" customHeight="1">
      <c r="D389" s="27"/>
      <c r="J389" s="5"/>
    </row>
    <row r="390" ht="15.75" customHeight="1">
      <c r="D390" s="27"/>
      <c r="J390" s="5"/>
    </row>
    <row r="391" ht="15.75" customHeight="1">
      <c r="D391" s="27"/>
      <c r="J391" s="5"/>
    </row>
    <row r="392" ht="15.75" customHeight="1">
      <c r="D392" s="27"/>
      <c r="J392" s="5"/>
    </row>
    <row r="393" ht="15.75" customHeight="1">
      <c r="D393" s="27"/>
      <c r="J393" s="5"/>
    </row>
    <row r="394" ht="15.75" customHeight="1">
      <c r="D394" s="27"/>
      <c r="J394" s="5"/>
    </row>
    <row r="395" ht="15.75" customHeight="1">
      <c r="D395" s="27"/>
      <c r="J395" s="5"/>
    </row>
    <row r="396" ht="15.75" customHeight="1">
      <c r="D396" s="27"/>
      <c r="J396" s="5"/>
    </row>
    <row r="397" ht="15.75" customHeight="1">
      <c r="D397" s="27"/>
      <c r="J397" s="5"/>
    </row>
    <row r="398" ht="15.75" customHeight="1">
      <c r="D398" s="27"/>
      <c r="J398" s="5"/>
    </row>
    <row r="399" ht="15.75" customHeight="1">
      <c r="D399" s="27"/>
      <c r="J399" s="5"/>
    </row>
    <row r="400" ht="15.75" customHeight="1">
      <c r="D400" s="27"/>
      <c r="J400" s="5"/>
    </row>
    <row r="401" ht="15.75" customHeight="1">
      <c r="D401" s="27"/>
      <c r="J401" s="5"/>
    </row>
    <row r="402" ht="15.75" customHeight="1">
      <c r="D402" s="27"/>
      <c r="J402" s="5"/>
    </row>
    <row r="403" ht="15.75" customHeight="1">
      <c r="D403" s="27"/>
      <c r="J403" s="5"/>
    </row>
    <row r="404" ht="15.75" customHeight="1">
      <c r="D404" s="27"/>
      <c r="J404" s="5"/>
    </row>
    <row r="405" ht="15.75" customHeight="1">
      <c r="D405" s="27"/>
      <c r="J405" s="5"/>
    </row>
    <row r="406" ht="15.75" customHeight="1">
      <c r="D406" s="27"/>
      <c r="J406" s="5"/>
    </row>
    <row r="407" ht="15.75" customHeight="1">
      <c r="D407" s="27"/>
      <c r="J407" s="5"/>
    </row>
    <row r="408" ht="15.75" customHeight="1">
      <c r="D408" s="27"/>
      <c r="J408" s="5"/>
    </row>
    <row r="409" ht="15.75" customHeight="1">
      <c r="D409" s="27"/>
      <c r="J409" s="5"/>
    </row>
    <row r="410" ht="15.75" customHeight="1">
      <c r="D410" s="27"/>
      <c r="J410" s="5"/>
    </row>
    <row r="411" ht="15.75" customHeight="1">
      <c r="D411" s="27"/>
      <c r="J411" s="5"/>
    </row>
    <row r="412" ht="15.75" customHeight="1">
      <c r="D412" s="27"/>
      <c r="J412" s="5"/>
    </row>
    <row r="413" ht="15.75" customHeight="1">
      <c r="D413" s="27"/>
      <c r="J413" s="5"/>
    </row>
    <row r="414" ht="15.75" customHeight="1">
      <c r="D414" s="27"/>
      <c r="J414" s="5"/>
    </row>
    <row r="415" ht="15.75" customHeight="1">
      <c r="D415" s="27"/>
      <c r="J415" s="5"/>
    </row>
    <row r="416" ht="15.75" customHeight="1">
      <c r="D416" s="27"/>
      <c r="J416" s="5"/>
    </row>
    <row r="417" ht="15.75" customHeight="1">
      <c r="D417" s="27"/>
      <c r="J417" s="5"/>
    </row>
    <row r="418" ht="15.75" customHeight="1">
      <c r="D418" s="27"/>
      <c r="J418" s="5"/>
    </row>
    <row r="419" ht="15.75" customHeight="1">
      <c r="D419" s="27"/>
      <c r="J419" s="5"/>
    </row>
    <row r="420" ht="15.75" customHeight="1">
      <c r="D420" s="27"/>
      <c r="J420" s="5"/>
    </row>
    <row r="421" ht="15.75" customHeight="1">
      <c r="D421" s="27"/>
      <c r="J421" s="5"/>
    </row>
    <row r="422" ht="15.75" customHeight="1">
      <c r="D422" s="27"/>
      <c r="J422" s="5"/>
    </row>
    <row r="423" ht="15.75" customHeight="1">
      <c r="D423" s="27"/>
      <c r="J423" s="5"/>
    </row>
    <row r="424" ht="15.75" customHeight="1">
      <c r="D424" s="27"/>
      <c r="J424" s="5"/>
    </row>
    <row r="425" ht="15.75" customHeight="1">
      <c r="D425" s="27"/>
      <c r="J425" s="5"/>
    </row>
    <row r="426" ht="15.75" customHeight="1">
      <c r="D426" s="27"/>
      <c r="J426" s="5"/>
    </row>
    <row r="427" ht="15.75" customHeight="1">
      <c r="D427" s="27"/>
      <c r="J427" s="5"/>
    </row>
    <row r="428" ht="15.75" customHeight="1">
      <c r="D428" s="27"/>
      <c r="J428" s="5"/>
    </row>
    <row r="429" ht="15.75" customHeight="1">
      <c r="D429" s="27"/>
      <c r="J429" s="5"/>
    </row>
    <row r="430" ht="15.75" customHeight="1">
      <c r="D430" s="27"/>
      <c r="J430" s="5"/>
    </row>
    <row r="431" ht="15.75" customHeight="1">
      <c r="D431" s="27"/>
      <c r="J431" s="5"/>
    </row>
    <row r="432" ht="15.75" customHeight="1">
      <c r="D432" s="27"/>
      <c r="J432" s="5"/>
    </row>
    <row r="433" ht="15.75" customHeight="1">
      <c r="D433" s="27"/>
      <c r="J433" s="5"/>
    </row>
    <row r="434" ht="15.75" customHeight="1">
      <c r="D434" s="27"/>
      <c r="J434" s="5"/>
    </row>
    <row r="435" ht="15.75" customHeight="1">
      <c r="D435" s="27"/>
      <c r="J435" s="5"/>
    </row>
    <row r="436" ht="15.75" customHeight="1">
      <c r="D436" s="27"/>
      <c r="J436" s="5"/>
    </row>
    <row r="437" ht="15.75" customHeight="1">
      <c r="D437" s="27"/>
      <c r="J437" s="5"/>
    </row>
    <row r="438" ht="15.75" customHeight="1">
      <c r="D438" s="27"/>
      <c r="J438" s="5"/>
    </row>
    <row r="439" ht="15.75" customHeight="1">
      <c r="D439" s="27"/>
      <c r="J439" s="5"/>
    </row>
    <row r="440" ht="15.75" customHeight="1">
      <c r="D440" s="27"/>
      <c r="J440" s="5"/>
    </row>
    <row r="441" ht="15.75" customHeight="1">
      <c r="D441" s="27"/>
      <c r="J441" s="5"/>
    </row>
    <row r="442" ht="15.75" customHeight="1">
      <c r="D442" s="27"/>
      <c r="J442" s="5"/>
    </row>
    <row r="443" ht="15.75" customHeight="1">
      <c r="D443" s="27"/>
      <c r="J443" s="5"/>
    </row>
    <row r="444" ht="15.75" customHeight="1">
      <c r="D444" s="27"/>
      <c r="J444" s="5"/>
    </row>
    <row r="445" ht="15.75" customHeight="1">
      <c r="D445" s="27"/>
      <c r="J445" s="5"/>
    </row>
    <row r="446" ht="15.75" customHeight="1">
      <c r="D446" s="27"/>
      <c r="J446" s="5"/>
    </row>
    <row r="447" ht="15.75" customHeight="1">
      <c r="D447" s="27"/>
      <c r="J447" s="5"/>
    </row>
    <row r="448" ht="15.75" customHeight="1">
      <c r="D448" s="27"/>
      <c r="J448" s="5"/>
    </row>
    <row r="449" ht="15.75" customHeight="1">
      <c r="D449" s="27"/>
      <c r="J449" s="5"/>
    </row>
    <row r="450" ht="15.75" customHeight="1">
      <c r="D450" s="27"/>
      <c r="J450" s="5"/>
    </row>
    <row r="451" ht="15.75" customHeight="1">
      <c r="D451" s="27"/>
      <c r="J451" s="5"/>
    </row>
    <row r="452" ht="15.75" customHeight="1">
      <c r="D452" s="27"/>
      <c r="J452" s="5"/>
    </row>
    <row r="453" ht="15.75" customHeight="1">
      <c r="D453" s="27"/>
      <c r="J453" s="5"/>
    </row>
    <row r="454" ht="15.75" customHeight="1">
      <c r="D454" s="27"/>
      <c r="J454" s="5"/>
    </row>
    <row r="455" ht="15.75" customHeight="1">
      <c r="D455" s="27"/>
      <c r="J455" s="5"/>
    </row>
    <row r="456" ht="15.75" customHeight="1">
      <c r="D456" s="27"/>
      <c r="J456" s="5"/>
    </row>
    <row r="457" ht="15.75" customHeight="1">
      <c r="D457" s="27"/>
      <c r="J457" s="5"/>
    </row>
    <row r="458" ht="15.75" customHeight="1">
      <c r="D458" s="27"/>
      <c r="J458" s="5"/>
    </row>
    <row r="459" ht="15.75" customHeight="1">
      <c r="D459" s="27"/>
      <c r="J459" s="5"/>
    </row>
    <row r="460" ht="15.75" customHeight="1">
      <c r="D460" s="27"/>
      <c r="J460" s="5"/>
    </row>
    <row r="461" ht="15.75" customHeight="1">
      <c r="D461" s="27"/>
      <c r="J461" s="5"/>
    </row>
    <row r="462" ht="15.75" customHeight="1">
      <c r="D462" s="27"/>
      <c r="J462" s="5"/>
    </row>
    <row r="463" ht="15.75" customHeight="1">
      <c r="D463" s="27"/>
      <c r="J463" s="5"/>
    </row>
    <row r="464" ht="15.75" customHeight="1">
      <c r="D464" s="27"/>
      <c r="J464" s="5"/>
    </row>
    <row r="465" ht="15.75" customHeight="1">
      <c r="D465" s="27"/>
      <c r="J465" s="5"/>
    </row>
    <row r="466" ht="15.75" customHeight="1">
      <c r="D466" s="27"/>
      <c r="J466" s="5"/>
    </row>
    <row r="467" ht="15.75" customHeight="1">
      <c r="D467" s="27"/>
      <c r="J467" s="5"/>
    </row>
    <row r="468" ht="15.75" customHeight="1">
      <c r="D468" s="27"/>
      <c r="J468" s="5"/>
    </row>
    <row r="469" ht="15.75" customHeight="1">
      <c r="D469" s="27"/>
      <c r="J469" s="5"/>
    </row>
    <row r="470" ht="15.75" customHeight="1">
      <c r="D470" s="27"/>
      <c r="J470" s="5"/>
    </row>
    <row r="471" ht="15.75" customHeight="1">
      <c r="D471" s="27"/>
      <c r="J471" s="5"/>
    </row>
    <row r="472" ht="15.75" customHeight="1">
      <c r="D472" s="27"/>
      <c r="J472" s="5"/>
    </row>
    <row r="473" ht="15.75" customHeight="1">
      <c r="D473" s="27"/>
      <c r="J473" s="5"/>
    </row>
    <row r="474" ht="15.75" customHeight="1">
      <c r="D474" s="27"/>
      <c r="J474" s="5"/>
    </row>
    <row r="475" ht="15.75" customHeight="1">
      <c r="D475" s="27"/>
      <c r="J475" s="5"/>
    </row>
    <row r="476" ht="15.75" customHeight="1">
      <c r="D476" s="27"/>
      <c r="J476" s="5"/>
    </row>
    <row r="477" ht="15.75" customHeight="1">
      <c r="D477" s="27"/>
      <c r="J477" s="5"/>
    </row>
    <row r="478" ht="15.75" customHeight="1">
      <c r="D478" s="27"/>
      <c r="J478" s="5"/>
    </row>
    <row r="479" ht="15.75" customHeight="1">
      <c r="D479" s="27"/>
      <c r="J479" s="5"/>
    </row>
    <row r="480" ht="15.75" customHeight="1">
      <c r="D480" s="27"/>
      <c r="J480" s="5"/>
    </row>
    <row r="481" ht="15.75" customHeight="1">
      <c r="D481" s="27"/>
      <c r="J481" s="5"/>
    </row>
    <row r="482" ht="15.75" customHeight="1">
      <c r="D482" s="27"/>
      <c r="J482" s="5"/>
    </row>
    <row r="483" ht="15.75" customHeight="1">
      <c r="D483" s="27"/>
      <c r="J483" s="5"/>
    </row>
    <row r="484" ht="15.75" customHeight="1">
      <c r="D484" s="27"/>
      <c r="J484" s="5"/>
    </row>
    <row r="485" ht="15.75" customHeight="1">
      <c r="D485" s="27"/>
      <c r="J485" s="5"/>
    </row>
    <row r="486" ht="15.75" customHeight="1">
      <c r="D486" s="27"/>
      <c r="J486" s="5"/>
    </row>
    <row r="487" ht="15.75" customHeight="1">
      <c r="D487" s="27"/>
      <c r="J487" s="5"/>
    </row>
    <row r="488" ht="15.75" customHeight="1">
      <c r="D488" s="27"/>
      <c r="J488" s="5"/>
    </row>
    <row r="489" ht="15.75" customHeight="1">
      <c r="D489" s="27"/>
      <c r="J489" s="5"/>
    </row>
    <row r="490" ht="15.75" customHeight="1">
      <c r="D490" s="27"/>
      <c r="J490" s="5"/>
    </row>
    <row r="491" ht="15.75" customHeight="1">
      <c r="D491" s="27"/>
      <c r="J491" s="5"/>
    </row>
    <row r="492" ht="15.75" customHeight="1">
      <c r="D492" s="27"/>
      <c r="J492" s="5"/>
    </row>
    <row r="493" ht="15.75" customHeight="1">
      <c r="D493" s="27"/>
      <c r="J493" s="5"/>
    </row>
    <row r="494" ht="15.75" customHeight="1">
      <c r="D494" s="27"/>
      <c r="J494" s="5"/>
    </row>
    <row r="495" ht="15.75" customHeight="1">
      <c r="D495" s="27"/>
      <c r="J495" s="5"/>
    </row>
    <row r="496" ht="15.75" customHeight="1">
      <c r="D496" s="27"/>
      <c r="J496" s="5"/>
    </row>
    <row r="497" ht="15.75" customHeight="1">
      <c r="D497" s="27"/>
      <c r="J497" s="5"/>
    </row>
    <row r="498" ht="15.75" customHeight="1">
      <c r="D498" s="27"/>
      <c r="J498" s="5"/>
    </row>
    <row r="499" ht="15.75" customHeight="1">
      <c r="D499" s="27"/>
      <c r="J499" s="5"/>
    </row>
    <row r="500" ht="15.75" customHeight="1">
      <c r="D500" s="27"/>
      <c r="J500" s="5"/>
    </row>
    <row r="501" ht="15.75" customHeight="1">
      <c r="D501" s="27"/>
      <c r="J501" s="5"/>
    </row>
    <row r="502" ht="15.75" customHeight="1">
      <c r="D502" s="27"/>
      <c r="J502" s="5"/>
    </row>
    <row r="503" ht="15.75" customHeight="1">
      <c r="D503" s="27"/>
      <c r="J503" s="5"/>
    </row>
    <row r="504" ht="15.75" customHeight="1">
      <c r="D504" s="27"/>
      <c r="J504" s="5"/>
    </row>
    <row r="505" ht="15.75" customHeight="1">
      <c r="D505" s="27"/>
      <c r="J505" s="5"/>
    </row>
    <row r="506" ht="15.75" customHeight="1">
      <c r="D506" s="27"/>
      <c r="J506" s="5"/>
    </row>
    <row r="507" ht="15.75" customHeight="1">
      <c r="D507" s="27"/>
      <c r="J507" s="5"/>
    </row>
    <row r="508" ht="15.75" customHeight="1">
      <c r="D508" s="27"/>
      <c r="J508" s="5"/>
    </row>
    <row r="509" ht="15.75" customHeight="1">
      <c r="D509" s="27"/>
      <c r="J509" s="5"/>
    </row>
    <row r="510" ht="15.75" customHeight="1">
      <c r="D510" s="27"/>
      <c r="J510" s="5"/>
    </row>
    <row r="511" ht="15.75" customHeight="1">
      <c r="D511" s="27"/>
      <c r="J511" s="5"/>
    </row>
    <row r="512" ht="15.75" customHeight="1">
      <c r="D512" s="27"/>
      <c r="J512" s="5"/>
    </row>
    <row r="513" ht="15.75" customHeight="1">
      <c r="D513" s="27"/>
      <c r="J513" s="5"/>
    </row>
    <row r="514" ht="15.75" customHeight="1">
      <c r="D514" s="27"/>
      <c r="J514" s="5"/>
    </row>
    <row r="515" ht="15.75" customHeight="1">
      <c r="D515" s="27"/>
      <c r="J515" s="5"/>
    </row>
    <row r="516" ht="15.75" customHeight="1">
      <c r="D516" s="27"/>
      <c r="J516" s="5"/>
    </row>
    <row r="517" ht="15.75" customHeight="1">
      <c r="D517" s="27"/>
      <c r="J517" s="5"/>
    </row>
    <row r="518" ht="15.75" customHeight="1">
      <c r="D518" s="27"/>
      <c r="J518" s="5"/>
    </row>
    <row r="519" ht="15.75" customHeight="1">
      <c r="D519" s="27"/>
      <c r="J519" s="5"/>
    </row>
    <row r="520" ht="15.75" customHeight="1">
      <c r="D520" s="27"/>
      <c r="J520" s="5"/>
    </row>
    <row r="521" ht="15.75" customHeight="1">
      <c r="D521" s="27"/>
      <c r="J521" s="5"/>
    </row>
    <row r="522" ht="15.75" customHeight="1">
      <c r="D522" s="27"/>
      <c r="J522" s="5"/>
    </row>
    <row r="523" ht="15.75" customHeight="1">
      <c r="D523" s="27"/>
      <c r="J523" s="5"/>
    </row>
    <row r="524" ht="15.75" customHeight="1">
      <c r="D524" s="27"/>
      <c r="J524" s="5"/>
    </row>
    <row r="525" ht="15.75" customHeight="1">
      <c r="D525" s="27"/>
      <c r="J525" s="5"/>
    </row>
    <row r="526" ht="15.75" customHeight="1">
      <c r="D526" s="27"/>
      <c r="J526" s="5"/>
    </row>
    <row r="527" ht="15.75" customHeight="1">
      <c r="D527" s="27"/>
      <c r="J527" s="5"/>
    </row>
    <row r="528" ht="15.75" customHeight="1">
      <c r="D528" s="27"/>
      <c r="J528" s="5"/>
    </row>
    <row r="529" ht="15.75" customHeight="1">
      <c r="D529" s="27"/>
      <c r="J529" s="5"/>
    </row>
    <row r="530" ht="15.75" customHeight="1">
      <c r="D530" s="27"/>
      <c r="J530" s="5"/>
    </row>
    <row r="531" ht="15.75" customHeight="1">
      <c r="D531" s="27"/>
      <c r="J531" s="5"/>
    </row>
    <row r="532" ht="15.75" customHeight="1">
      <c r="D532" s="27"/>
      <c r="J532" s="5"/>
    </row>
    <row r="533" ht="15.75" customHeight="1">
      <c r="D533" s="27"/>
      <c r="J533" s="5"/>
    </row>
    <row r="534" ht="15.75" customHeight="1">
      <c r="D534" s="27"/>
      <c r="J534" s="5"/>
    </row>
    <row r="535" ht="15.75" customHeight="1">
      <c r="D535" s="27"/>
      <c r="J535" s="5"/>
    </row>
    <row r="536" ht="15.75" customHeight="1">
      <c r="D536" s="27"/>
      <c r="J536" s="5"/>
    </row>
    <row r="537" ht="15.75" customHeight="1">
      <c r="D537" s="27"/>
      <c r="J537" s="5"/>
    </row>
    <row r="538" ht="15.75" customHeight="1">
      <c r="D538" s="27"/>
      <c r="J538" s="5"/>
    </row>
    <row r="539" ht="15.75" customHeight="1">
      <c r="D539" s="27"/>
      <c r="J539" s="5"/>
    </row>
    <row r="540" ht="15.75" customHeight="1">
      <c r="D540" s="27"/>
      <c r="J540" s="5"/>
    </row>
    <row r="541" ht="15.75" customHeight="1">
      <c r="D541" s="27"/>
      <c r="J541" s="5"/>
    </row>
    <row r="542" ht="15.75" customHeight="1">
      <c r="D542" s="27"/>
      <c r="J542" s="5"/>
    </row>
    <row r="543" ht="15.75" customHeight="1">
      <c r="D543" s="27"/>
      <c r="J543" s="5"/>
    </row>
    <row r="544" ht="15.75" customHeight="1">
      <c r="D544" s="27"/>
      <c r="J544" s="5"/>
    </row>
    <row r="545" ht="15.75" customHeight="1">
      <c r="D545" s="27"/>
      <c r="J545" s="5"/>
    </row>
    <row r="546" ht="15.75" customHeight="1">
      <c r="D546" s="27"/>
      <c r="J546" s="5"/>
    </row>
    <row r="547" ht="15.75" customHeight="1">
      <c r="D547" s="27"/>
      <c r="J547" s="5"/>
    </row>
    <row r="548" ht="15.75" customHeight="1">
      <c r="D548" s="27"/>
      <c r="J548" s="5"/>
    </row>
    <row r="549" ht="15.75" customHeight="1">
      <c r="D549" s="27"/>
      <c r="J549" s="5"/>
    </row>
    <row r="550" ht="15.75" customHeight="1">
      <c r="D550" s="27"/>
      <c r="J550" s="5"/>
    </row>
    <row r="551" ht="15.75" customHeight="1">
      <c r="D551" s="27"/>
      <c r="J551" s="5"/>
    </row>
    <row r="552" ht="15.75" customHeight="1">
      <c r="D552" s="27"/>
      <c r="J552" s="5"/>
    </row>
    <row r="553" ht="15.75" customHeight="1">
      <c r="D553" s="27"/>
      <c r="J553" s="5"/>
    </row>
    <row r="554" ht="15.75" customHeight="1">
      <c r="D554" s="27"/>
      <c r="J554" s="5"/>
    </row>
    <row r="555" ht="15.75" customHeight="1">
      <c r="D555" s="27"/>
      <c r="J555" s="5"/>
    </row>
    <row r="556" ht="15.75" customHeight="1">
      <c r="D556" s="27"/>
      <c r="J556" s="5"/>
    </row>
    <row r="557" ht="15.75" customHeight="1">
      <c r="D557" s="27"/>
      <c r="J557" s="5"/>
    </row>
    <row r="558" ht="15.75" customHeight="1">
      <c r="D558" s="27"/>
      <c r="J558" s="5"/>
    </row>
    <row r="559" ht="15.75" customHeight="1">
      <c r="D559" s="27"/>
      <c r="J559" s="5"/>
    </row>
    <row r="560" ht="15.75" customHeight="1">
      <c r="D560" s="27"/>
      <c r="J560" s="5"/>
    </row>
    <row r="561" ht="15.75" customHeight="1">
      <c r="D561" s="27"/>
      <c r="J561" s="5"/>
    </row>
    <row r="562" ht="15.75" customHeight="1">
      <c r="D562" s="27"/>
      <c r="J562" s="5"/>
    </row>
    <row r="563" ht="15.75" customHeight="1">
      <c r="D563" s="27"/>
      <c r="J563" s="5"/>
    </row>
    <row r="564" ht="15.75" customHeight="1">
      <c r="D564" s="27"/>
      <c r="J564" s="5"/>
    </row>
    <row r="565" ht="15.75" customHeight="1">
      <c r="D565" s="27"/>
      <c r="J565" s="5"/>
    </row>
    <row r="566" ht="15.75" customHeight="1">
      <c r="D566" s="27"/>
      <c r="J566" s="5"/>
    </row>
    <row r="567" ht="15.75" customHeight="1">
      <c r="D567" s="27"/>
      <c r="J567" s="5"/>
    </row>
    <row r="568" ht="15.75" customHeight="1">
      <c r="D568" s="27"/>
      <c r="J568" s="5"/>
    </row>
    <row r="569" ht="15.75" customHeight="1">
      <c r="D569" s="27"/>
      <c r="J569" s="5"/>
    </row>
    <row r="570" ht="15.75" customHeight="1">
      <c r="D570" s="27"/>
      <c r="J570" s="5"/>
    </row>
    <row r="571" ht="15.75" customHeight="1">
      <c r="D571" s="27"/>
      <c r="J571" s="5"/>
    </row>
    <row r="572" ht="15.75" customHeight="1">
      <c r="D572" s="27"/>
      <c r="J572" s="5"/>
    </row>
    <row r="573" ht="15.75" customHeight="1">
      <c r="D573" s="27"/>
      <c r="J573" s="5"/>
    </row>
    <row r="574" ht="15.75" customHeight="1">
      <c r="D574" s="27"/>
      <c r="J574" s="5"/>
    </row>
    <row r="575" ht="15.75" customHeight="1">
      <c r="D575" s="27"/>
      <c r="J575" s="5"/>
    </row>
    <row r="576" ht="15.75" customHeight="1">
      <c r="D576" s="27"/>
      <c r="J576" s="5"/>
    </row>
    <row r="577" ht="15.75" customHeight="1">
      <c r="D577" s="27"/>
      <c r="J577" s="5"/>
    </row>
    <row r="578" ht="15.75" customHeight="1">
      <c r="D578" s="27"/>
      <c r="J578" s="5"/>
    </row>
    <row r="579" ht="15.75" customHeight="1">
      <c r="D579" s="27"/>
      <c r="J579" s="5"/>
    </row>
    <row r="580" ht="15.75" customHeight="1">
      <c r="D580" s="27"/>
      <c r="J580" s="5"/>
    </row>
    <row r="581" ht="15.75" customHeight="1">
      <c r="D581" s="27"/>
      <c r="J581" s="5"/>
    </row>
    <row r="582" ht="15.75" customHeight="1">
      <c r="D582" s="27"/>
      <c r="J582" s="5"/>
    </row>
    <row r="583" ht="15.75" customHeight="1">
      <c r="D583" s="27"/>
      <c r="J583" s="5"/>
    </row>
    <row r="584" ht="15.75" customHeight="1">
      <c r="D584" s="27"/>
      <c r="J584" s="5"/>
    </row>
    <row r="585" ht="15.75" customHeight="1">
      <c r="D585" s="27"/>
      <c r="J585" s="5"/>
    </row>
    <row r="586" ht="15.75" customHeight="1">
      <c r="D586" s="27"/>
      <c r="J586" s="5"/>
    </row>
    <row r="587" ht="15.75" customHeight="1">
      <c r="D587" s="27"/>
      <c r="J587" s="5"/>
    </row>
    <row r="588" ht="15.75" customHeight="1">
      <c r="D588" s="27"/>
      <c r="J588" s="5"/>
    </row>
    <row r="589" ht="15.75" customHeight="1">
      <c r="D589" s="27"/>
      <c r="J589" s="5"/>
    </row>
    <row r="590" ht="15.75" customHeight="1">
      <c r="D590" s="27"/>
      <c r="J590" s="5"/>
    </row>
    <row r="591" ht="15.75" customHeight="1">
      <c r="D591" s="27"/>
      <c r="J591" s="5"/>
    </row>
    <row r="592" ht="15.75" customHeight="1">
      <c r="D592" s="27"/>
      <c r="J592" s="5"/>
    </row>
    <row r="593" ht="15.75" customHeight="1">
      <c r="D593" s="27"/>
      <c r="J593" s="5"/>
    </row>
    <row r="594" ht="15.75" customHeight="1">
      <c r="D594" s="27"/>
      <c r="J594" s="5"/>
    </row>
    <row r="595" ht="15.75" customHeight="1">
      <c r="D595" s="27"/>
      <c r="J595" s="5"/>
    </row>
    <row r="596" ht="15.75" customHeight="1">
      <c r="D596" s="27"/>
      <c r="J596" s="5"/>
    </row>
    <row r="597" ht="15.75" customHeight="1">
      <c r="D597" s="27"/>
      <c r="J597" s="5"/>
    </row>
    <row r="598" ht="15.75" customHeight="1">
      <c r="D598" s="27"/>
      <c r="J598" s="5"/>
    </row>
    <row r="599" ht="15.75" customHeight="1">
      <c r="D599" s="27"/>
      <c r="J599" s="5"/>
    </row>
    <row r="600" ht="15.75" customHeight="1">
      <c r="D600" s="27"/>
      <c r="J600" s="5"/>
    </row>
    <row r="601" ht="15.75" customHeight="1">
      <c r="D601" s="27"/>
      <c r="J601" s="5"/>
    </row>
    <row r="602" ht="15.75" customHeight="1">
      <c r="D602" s="27"/>
      <c r="J602" s="5"/>
    </row>
    <row r="603" ht="15.75" customHeight="1">
      <c r="D603" s="27"/>
      <c r="J603" s="5"/>
    </row>
    <row r="604" ht="15.75" customHeight="1">
      <c r="D604" s="27"/>
      <c r="J604" s="5"/>
    </row>
    <row r="605" ht="15.75" customHeight="1">
      <c r="D605" s="27"/>
      <c r="J605" s="5"/>
    </row>
    <row r="606" ht="15.75" customHeight="1">
      <c r="D606" s="27"/>
      <c r="J606" s="5"/>
    </row>
    <row r="607" ht="15.75" customHeight="1">
      <c r="D607" s="27"/>
      <c r="J607" s="5"/>
    </row>
    <row r="608" ht="15.75" customHeight="1">
      <c r="D608" s="27"/>
      <c r="J608" s="5"/>
    </row>
    <row r="609" ht="15.75" customHeight="1">
      <c r="D609" s="27"/>
      <c r="J609" s="5"/>
    </row>
    <row r="610" ht="15.75" customHeight="1">
      <c r="D610" s="27"/>
      <c r="J610" s="5"/>
    </row>
    <row r="611" ht="15.75" customHeight="1">
      <c r="D611" s="27"/>
      <c r="J611" s="5"/>
    </row>
    <row r="612" ht="15.75" customHeight="1">
      <c r="D612" s="27"/>
      <c r="J612" s="5"/>
    </row>
    <row r="613" ht="15.75" customHeight="1">
      <c r="D613" s="27"/>
      <c r="J613" s="5"/>
    </row>
    <row r="614" ht="15.75" customHeight="1">
      <c r="D614" s="27"/>
      <c r="J614" s="5"/>
    </row>
    <row r="615" ht="15.75" customHeight="1">
      <c r="D615" s="27"/>
      <c r="J615" s="5"/>
    </row>
    <row r="616" ht="15.75" customHeight="1">
      <c r="D616" s="27"/>
      <c r="J616" s="5"/>
    </row>
    <row r="617" ht="15.75" customHeight="1">
      <c r="D617" s="27"/>
      <c r="J617" s="5"/>
    </row>
    <row r="618" ht="15.75" customHeight="1">
      <c r="D618" s="27"/>
      <c r="J618" s="5"/>
    </row>
    <row r="619" ht="15.75" customHeight="1">
      <c r="D619" s="27"/>
      <c r="J619" s="5"/>
    </row>
    <row r="620" ht="15.75" customHeight="1">
      <c r="D620" s="27"/>
      <c r="J620" s="5"/>
    </row>
    <row r="621" ht="15.75" customHeight="1">
      <c r="D621" s="27"/>
      <c r="J621" s="5"/>
    </row>
    <row r="622" ht="15.75" customHeight="1">
      <c r="D622" s="27"/>
      <c r="J622" s="5"/>
    </row>
    <row r="623" ht="15.75" customHeight="1">
      <c r="D623" s="27"/>
      <c r="J623" s="5"/>
    </row>
    <row r="624" ht="15.75" customHeight="1">
      <c r="D624" s="27"/>
      <c r="J624" s="5"/>
    </row>
    <row r="625" ht="15.75" customHeight="1">
      <c r="D625" s="27"/>
      <c r="J625" s="5"/>
    </row>
    <row r="626" ht="15.75" customHeight="1">
      <c r="D626" s="27"/>
      <c r="J626" s="5"/>
    </row>
    <row r="627" ht="15.75" customHeight="1">
      <c r="D627" s="27"/>
      <c r="J627" s="5"/>
    </row>
    <row r="628" ht="15.75" customHeight="1">
      <c r="D628" s="27"/>
      <c r="J628" s="5"/>
    </row>
    <row r="629" ht="15.75" customHeight="1">
      <c r="D629" s="27"/>
      <c r="J629" s="5"/>
    </row>
    <row r="630" ht="15.75" customHeight="1">
      <c r="D630" s="27"/>
      <c r="J630" s="5"/>
    </row>
    <row r="631" ht="15.75" customHeight="1">
      <c r="D631" s="27"/>
      <c r="J631" s="5"/>
    </row>
    <row r="632" ht="15.75" customHeight="1">
      <c r="D632" s="27"/>
      <c r="J632" s="5"/>
    </row>
    <row r="633" ht="15.75" customHeight="1">
      <c r="D633" s="27"/>
      <c r="J633" s="5"/>
    </row>
    <row r="634" ht="15.75" customHeight="1">
      <c r="D634" s="27"/>
      <c r="J634" s="5"/>
    </row>
    <row r="635" ht="15.75" customHeight="1">
      <c r="D635" s="27"/>
      <c r="J635" s="5"/>
    </row>
    <row r="636" ht="15.75" customHeight="1">
      <c r="D636" s="27"/>
      <c r="J636" s="5"/>
    </row>
    <row r="637" ht="15.75" customHeight="1">
      <c r="D637" s="27"/>
      <c r="J637" s="5"/>
    </row>
    <row r="638" ht="15.75" customHeight="1">
      <c r="D638" s="27"/>
      <c r="J638" s="5"/>
    </row>
    <row r="639" ht="15.75" customHeight="1">
      <c r="D639" s="27"/>
      <c r="J639" s="5"/>
    </row>
    <row r="640" ht="15.75" customHeight="1">
      <c r="D640" s="27"/>
      <c r="J640" s="5"/>
    </row>
    <row r="641" ht="15.75" customHeight="1">
      <c r="D641" s="27"/>
      <c r="J641" s="5"/>
    </row>
    <row r="642" ht="15.75" customHeight="1">
      <c r="D642" s="27"/>
      <c r="J642" s="5"/>
    </row>
    <row r="643" ht="15.75" customHeight="1">
      <c r="D643" s="27"/>
      <c r="J643" s="5"/>
    </row>
    <row r="644" ht="15.75" customHeight="1">
      <c r="D644" s="27"/>
      <c r="J644" s="5"/>
    </row>
    <row r="645" ht="15.75" customHeight="1">
      <c r="D645" s="27"/>
      <c r="J645" s="5"/>
    </row>
    <row r="646" ht="15.75" customHeight="1">
      <c r="D646" s="27"/>
      <c r="J646" s="5"/>
    </row>
    <row r="647" ht="15.75" customHeight="1">
      <c r="D647" s="27"/>
      <c r="J647" s="5"/>
    </row>
    <row r="648" ht="15.75" customHeight="1">
      <c r="D648" s="27"/>
      <c r="J648" s="5"/>
    </row>
    <row r="649" ht="15.75" customHeight="1">
      <c r="D649" s="27"/>
      <c r="J649" s="5"/>
    </row>
    <row r="650" ht="15.75" customHeight="1">
      <c r="D650" s="27"/>
      <c r="J650" s="5"/>
    </row>
    <row r="651" ht="15.75" customHeight="1">
      <c r="D651" s="27"/>
      <c r="J651" s="5"/>
    </row>
    <row r="652" ht="15.75" customHeight="1">
      <c r="D652" s="27"/>
      <c r="J652" s="5"/>
    </row>
    <row r="653" ht="15.75" customHeight="1">
      <c r="D653" s="27"/>
      <c r="J653" s="5"/>
    </row>
    <row r="654" ht="15.75" customHeight="1">
      <c r="D654" s="27"/>
      <c r="J654" s="5"/>
    </row>
    <row r="655" ht="15.75" customHeight="1">
      <c r="D655" s="27"/>
      <c r="J655" s="5"/>
    </row>
    <row r="656" ht="15.75" customHeight="1">
      <c r="D656" s="27"/>
      <c r="J656" s="5"/>
    </row>
    <row r="657" ht="15.75" customHeight="1">
      <c r="D657" s="27"/>
      <c r="J657" s="5"/>
    </row>
    <row r="658" ht="15.75" customHeight="1">
      <c r="D658" s="27"/>
      <c r="J658" s="5"/>
    </row>
    <row r="659" ht="15.75" customHeight="1">
      <c r="D659" s="27"/>
      <c r="J659" s="5"/>
    </row>
    <row r="660" ht="15.75" customHeight="1">
      <c r="D660" s="27"/>
      <c r="J660" s="5"/>
    </row>
    <row r="661" ht="15.75" customHeight="1">
      <c r="D661" s="27"/>
      <c r="J661" s="5"/>
    </row>
    <row r="662" ht="15.75" customHeight="1">
      <c r="D662" s="27"/>
      <c r="J662" s="5"/>
    </row>
    <row r="663" ht="15.75" customHeight="1">
      <c r="D663" s="27"/>
      <c r="J663" s="5"/>
    </row>
    <row r="664" ht="15.75" customHeight="1">
      <c r="D664" s="27"/>
      <c r="J664" s="5"/>
    </row>
    <row r="665" ht="15.75" customHeight="1">
      <c r="D665" s="27"/>
      <c r="J665" s="5"/>
    </row>
    <row r="666" ht="15.75" customHeight="1">
      <c r="D666" s="27"/>
      <c r="J666" s="5"/>
    </row>
    <row r="667" ht="15.75" customHeight="1">
      <c r="D667" s="27"/>
      <c r="J667" s="5"/>
    </row>
    <row r="668" ht="15.75" customHeight="1">
      <c r="D668" s="27"/>
      <c r="J668" s="5"/>
    </row>
    <row r="669" ht="15.75" customHeight="1">
      <c r="D669" s="27"/>
      <c r="J669" s="5"/>
    </row>
    <row r="670" ht="15.75" customHeight="1">
      <c r="D670" s="27"/>
      <c r="J670" s="5"/>
    </row>
    <row r="671" ht="15.75" customHeight="1">
      <c r="D671" s="27"/>
      <c r="J671" s="5"/>
    </row>
    <row r="672" ht="15.75" customHeight="1">
      <c r="D672" s="27"/>
      <c r="J672" s="5"/>
    </row>
    <row r="673" ht="15.75" customHeight="1">
      <c r="D673" s="27"/>
      <c r="J673" s="5"/>
    </row>
    <row r="674" ht="15.75" customHeight="1">
      <c r="D674" s="27"/>
      <c r="J674" s="5"/>
    </row>
    <row r="675" ht="15.75" customHeight="1">
      <c r="D675" s="27"/>
      <c r="J675" s="5"/>
    </row>
    <row r="676" ht="15.75" customHeight="1">
      <c r="D676" s="27"/>
      <c r="J676" s="5"/>
    </row>
    <row r="677" ht="15.75" customHeight="1">
      <c r="D677" s="27"/>
      <c r="J677" s="5"/>
    </row>
    <row r="678" ht="15.75" customHeight="1">
      <c r="D678" s="27"/>
      <c r="J678" s="5"/>
    </row>
    <row r="679" ht="15.75" customHeight="1">
      <c r="D679" s="27"/>
      <c r="J679" s="5"/>
    </row>
    <row r="680" ht="15.75" customHeight="1">
      <c r="D680" s="27"/>
      <c r="J680" s="5"/>
    </row>
    <row r="681" ht="15.75" customHeight="1">
      <c r="D681" s="27"/>
      <c r="J681" s="5"/>
    </row>
    <row r="682" ht="15.75" customHeight="1">
      <c r="D682" s="27"/>
      <c r="J682" s="5"/>
    </row>
    <row r="683" ht="15.75" customHeight="1">
      <c r="D683" s="27"/>
      <c r="J683" s="5"/>
    </row>
    <row r="684" ht="15.75" customHeight="1">
      <c r="D684" s="27"/>
      <c r="J684" s="5"/>
    </row>
    <row r="685" ht="15.75" customHeight="1">
      <c r="D685" s="27"/>
      <c r="J685" s="5"/>
    </row>
    <row r="686" ht="15.75" customHeight="1">
      <c r="D686" s="27"/>
      <c r="J686" s="5"/>
    </row>
    <row r="687" ht="15.75" customHeight="1">
      <c r="D687" s="27"/>
      <c r="J687" s="5"/>
    </row>
    <row r="688" ht="15.75" customHeight="1">
      <c r="D688" s="27"/>
      <c r="J688" s="5"/>
    </row>
    <row r="689" ht="15.75" customHeight="1">
      <c r="D689" s="27"/>
      <c r="J689" s="5"/>
    </row>
    <row r="690" ht="15.75" customHeight="1">
      <c r="D690" s="27"/>
      <c r="J690" s="5"/>
    </row>
    <row r="691" ht="15.75" customHeight="1">
      <c r="D691" s="27"/>
      <c r="J691" s="5"/>
    </row>
    <row r="692" ht="15.75" customHeight="1">
      <c r="D692" s="27"/>
      <c r="J692" s="5"/>
    </row>
    <row r="693" ht="15.75" customHeight="1">
      <c r="D693" s="27"/>
      <c r="J693" s="5"/>
    </row>
    <row r="694" ht="15.75" customHeight="1">
      <c r="D694" s="27"/>
      <c r="J694" s="5"/>
    </row>
    <row r="695" ht="15.75" customHeight="1">
      <c r="D695" s="27"/>
      <c r="J695" s="5"/>
    </row>
    <row r="696" ht="15.75" customHeight="1">
      <c r="D696" s="27"/>
      <c r="J696" s="5"/>
    </row>
    <row r="697" ht="15.75" customHeight="1">
      <c r="D697" s="27"/>
      <c r="J697" s="5"/>
    </row>
    <row r="698" ht="15.75" customHeight="1">
      <c r="D698" s="27"/>
      <c r="J698" s="5"/>
    </row>
    <row r="699" ht="15.75" customHeight="1">
      <c r="D699" s="27"/>
      <c r="J699" s="5"/>
    </row>
    <row r="700" ht="15.75" customHeight="1">
      <c r="D700" s="27"/>
      <c r="J700" s="5"/>
    </row>
    <row r="701" ht="15.75" customHeight="1">
      <c r="D701" s="27"/>
      <c r="J701" s="5"/>
    </row>
    <row r="702" ht="15.75" customHeight="1">
      <c r="D702" s="27"/>
      <c r="J702" s="5"/>
    </row>
    <row r="703" ht="15.75" customHeight="1">
      <c r="D703" s="27"/>
      <c r="J703" s="5"/>
    </row>
    <row r="704" ht="15.75" customHeight="1">
      <c r="D704" s="27"/>
      <c r="J704" s="5"/>
    </row>
    <row r="705" ht="15.75" customHeight="1">
      <c r="D705" s="27"/>
      <c r="J705" s="5"/>
    </row>
    <row r="706" ht="15.75" customHeight="1">
      <c r="D706" s="27"/>
      <c r="J706" s="5"/>
    </row>
    <row r="707" ht="15.75" customHeight="1">
      <c r="D707" s="27"/>
      <c r="J707" s="5"/>
    </row>
    <row r="708" ht="15.75" customHeight="1">
      <c r="D708" s="27"/>
      <c r="J708" s="5"/>
    </row>
    <row r="709" ht="15.75" customHeight="1">
      <c r="D709" s="27"/>
      <c r="J709" s="5"/>
    </row>
    <row r="710" ht="15.75" customHeight="1">
      <c r="D710" s="27"/>
      <c r="J710" s="5"/>
    </row>
    <row r="711" ht="15.75" customHeight="1">
      <c r="D711" s="27"/>
      <c r="J711" s="5"/>
    </row>
    <row r="712" ht="15.75" customHeight="1">
      <c r="D712" s="27"/>
      <c r="J712" s="5"/>
    </row>
    <row r="713" ht="15.75" customHeight="1">
      <c r="D713" s="27"/>
      <c r="J713" s="5"/>
    </row>
    <row r="714" ht="15.75" customHeight="1">
      <c r="D714" s="27"/>
      <c r="J714" s="5"/>
    </row>
    <row r="715" ht="15.75" customHeight="1">
      <c r="D715" s="27"/>
      <c r="J715" s="5"/>
    </row>
    <row r="716" ht="15.75" customHeight="1">
      <c r="D716" s="27"/>
      <c r="J716" s="5"/>
    </row>
    <row r="717" ht="15.75" customHeight="1">
      <c r="D717" s="27"/>
      <c r="J717" s="5"/>
    </row>
    <row r="718" ht="15.75" customHeight="1">
      <c r="D718" s="27"/>
      <c r="J718" s="5"/>
    </row>
    <row r="719" ht="15.75" customHeight="1">
      <c r="D719" s="27"/>
      <c r="J719" s="5"/>
    </row>
    <row r="720" ht="15.75" customHeight="1">
      <c r="D720" s="27"/>
      <c r="J720" s="5"/>
    </row>
    <row r="721" ht="15.75" customHeight="1">
      <c r="D721" s="27"/>
      <c r="J721" s="5"/>
    </row>
    <row r="722" ht="15.75" customHeight="1">
      <c r="D722" s="27"/>
      <c r="J722" s="5"/>
    </row>
    <row r="723" ht="15.75" customHeight="1">
      <c r="D723" s="27"/>
      <c r="J723" s="5"/>
    </row>
    <row r="724" ht="15.75" customHeight="1">
      <c r="D724" s="27"/>
      <c r="J724" s="5"/>
    </row>
    <row r="725" ht="15.75" customHeight="1">
      <c r="D725" s="27"/>
      <c r="J725" s="5"/>
    </row>
    <row r="726" ht="15.75" customHeight="1">
      <c r="D726" s="27"/>
      <c r="J726" s="5"/>
    </row>
    <row r="727" ht="15.75" customHeight="1">
      <c r="D727" s="27"/>
      <c r="J727" s="5"/>
    </row>
    <row r="728" ht="15.75" customHeight="1">
      <c r="D728" s="27"/>
      <c r="J728" s="5"/>
    </row>
    <row r="729" ht="15.75" customHeight="1">
      <c r="D729" s="27"/>
      <c r="J729" s="5"/>
    </row>
    <row r="730" ht="15.75" customHeight="1">
      <c r="D730" s="27"/>
      <c r="J730" s="5"/>
    </row>
    <row r="731" ht="15.75" customHeight="1">
      <c r="D731" s="27"/>
      <c r="J731" s="5"/>
    </row>
    <row r="732" ht="15.75" customHeight="1">
      <c r="D732" s="27"/>
      <c r="J732" s="5"/>
    </row>
    <row r="733" ht="15.75" customHeight="1">
      <c r="D733" s="27"/>
      <c r="J733" s="5"/>
    </row>
    <row r="734" ht="15.75" customHeight="1">
      <c r="D734" s="27"/>
      <c r="J734" s="5"/>
    </row>
    <row r="735" ht="15.75" customHeight="1">
      <c r="D735" s="27"/>
      <c r="J735" s="5"/>
    </row>
    <row r="736" ht="15.75" customHeight="1">
      <c r="D736" s="27"/>
      <c r="J736" s="5"/>
    </row>
    <row r="737" ht="15.75" customHeight="1">
      <c r="D737" s="27"/>
      <c r="J737" s="5"/>
    </row>
    <row r="738" ht="15.75" customHeight="1">
      <c r="D738" s="27"/>
      <c r="J738" s="5"/>
    </row>
    <row r="739" ht="15.75" customHeight="1">
      <c r="D739" s="27"/>
      <c r="J739" s="5"/>
    </row>
    <row r="740" ht="15.75" customHeight="1">
      <c r="D740" s="27"/>
      <c r="J740" s="5"/>
    </row>
    <row r="741" ht="15.75" customHeight="1">
      <c r="D741" s="27"/>
      <c r="J741" s="5"/>
    </row>
    <row r="742" ht="15.75" customHeight="1">
      <c r="D742" s="27"/>
      <c r="J742" s="5"/>
    </row>
    <row r="743" ht="15.75" customHeight="1">
      <c r="D743" s="27"/>
      <c r="J743" s="5"/>
    </row>
    <row r="744" ht="15.75" customHeight="1">
      <c r="D744" s="27"/>
      <c r="J744" s="5"/>
    </row>
    <row r="745" ht="15.75" customHeight="1">
      <c r="D745" s="27"/>
      <c r="J745" s="5"/>
    </row>
    <row r="746" ht="15.75" customHeight="1">
      <c r="D746" s="27"/>
      <c r="J746" s="5"/>
    </row>
    <row r="747" ht="15.75" customHeight="1">
      <c r="D747" s="27"/>
      <c r="J747" s="5"/>
    </row>
    <row r="748" ht="15.75" customHeight="1">
      <c r="D748" s="27"/>
      <c r="J748" s="5"/>
    </row>
    <row r="749" ht="15.75" customHeight="1">
      <c r="D749" s="27"/>
      <c r="J749" s="5"/>
    </row>
    <row r="750" ht="15.75" customHeight="1">
      <c r="D750" s="27"/>
      <c r="J750" s="5"/>
    </row>
    <row r="751" ht="15.75" customHeight="1">
      <c r="D751" s="27"/>
      <c r="J751" s="5"/>
    </row>
    <row r="752" ht="15.75" customHeight="1">
      <c r="D752" s="27"/>
      <c r="J752" s="5"/>
    </row>
    <row r="753" ht="15.75" customHeight="1">
      <c r="D753" s="27"/>
      <c r="J753" s="5"/>
    </row>
    <row r="754" ht="15.75" customHeight="1">
      <c r="D754" s="27"/>
      <c r="J754" s="5"/>
    </row>
    <row r="755" ht="15.75" customHeight="1">
      <c r="D755" s="27"/>
      <c r="J755" s="5"/>
    </row>
    <row r="756" ht="15.75" customHeight="1">
      <c r="D756" s="27"/>
      <c r="J756" s="5"/>
    </row>
    <row r="757" ht="15.75" customHeight="1">
      <c r="D757" s="27"/>
      <c r="J757" s="5"/>
    </row>
    <row r="758" ht="15.75" customHeight="1">
      <c r="D758" s="27"/>
      <c r="J758" s="5"/>
    </row>
    <row r="759" ht="15.75" customHeight="1">
      <c r="D759" s="27"/>
      <c r="J759" s="5"/>
    </row>
    <row r="760" ht="15.75" customHeight="1">
      <c r="D760" s="27"/>
      <c r="J760" s="5"/>
    </row>
    <row r="761" ht="15.75" customHeight="1">
      <c r="D761" s="27"/>
      <c r="J761" s="5"/>
    </row>
    <row r="762" ht="15.75" customHeight="1">
      <c r="D762" s="27"/>
      <c r="J762" s="5"/>
    </row>
    <row r="763" ht="15.75" customHeight="1">
      <c r="D763" s="27"/>
      <c r="J763" s="5"/>
    </row>
    <row r="764" ht="15.75" customHeight="1">
      <c r="D764" s="27"/>
      <c r="J764" s="5"/>
    </row>
    <row r="765" ht="15.75" customHeight="1">
      <c r="D765" s="27"/>
      <c r="J765" s="5"/>
    </row>
    <row r="766" ht="15.75" customHeight="1">
      <c r="D766" s="27"/>
      <c r="J766" s="5"/>
    </row>
    <row r="767" ht="15.75" customHeight="1">
      <c r="D767" s="27"/>
      <c r="J767" s="5"/>
    </row>
    <row r="768" ht="15.75" customHeight="1">
      <c r="D768" s="27"/>
      <c r="J768" s="5"/>
    </row>
    <row r="769" ht="15.75" customHeight="1">
      <c r="D769" s="27"/>
      <c r="J769" s="5"/>
    </row>
    <row r="770" ht="15.75" customHeight="1">
      <c r="D770" s="27"/>
      <c r="J770" s="5"/>
    </row>
    <row r="771" ht="15.75" customHeight="1">
      <c r="D771" s="27"/>
      <c r="J771" s="5"/>
    </row>
    <row r="772" ht="15.75" customHeight="1">
      <c r="D772" s="27"/>
      <c r="J772" s="5"/>
    </row>
    <row r="773" ht="15.75" customHeight="1">
      <c r="D773" s="27"/>
      <c r="J773" s="5"/>
    </row>
    <row r="774" ht="15.75" customHeight="1">
      <c r="D774" s="27"/>
      <c r="J774" s="5"/>
    </row>
    <row r="775" ht="15.75" customHeight="1">
      <c r="D775" s="27"/>
      <c r="J775" s="5"/>
    </row>
    <row r="776" ht="15.75" customHeight="1">
      <c r="D776" s="27"/>
      <c r="J776" s="5"/>
    </row>
    <row r="777" ht="15.75" customHeight="1">
      <c r="D777" s="27"/>
      <c r="J777" s="5"/>
    </row>
    <row r="778" ht="15.75" customHeight="1">
      <c r="D778" s="27"/>
      <c r="J778" s="5"/>
    </row>
    <row r="779" ht="15.75" customHeight="1">
      <c r="D779" s="27"/>
      <c r="J779" s="5"/>
    </row>
    <row r="780" ht="15.75" customHeight="1">
      <c r="D780" s="27"/>
      <c r="J780" s="5"/>
    </row>
    <row r="781" ht="15.75" customHeight="1">
      <c r="D781" s="27"/>
      <c r="J781" s="5"/>
    </row>
    <row r="782" ht="15.75" customHeight="1">
      <c r="D782" s="27"/>
      <c r="J782" s="5"/>
    </row>
    <row r="783" ht="15.75" customHeight="1">
      <c r="D783" s="27"/>
      <c r="J783" s="5"/>
    </row>
    <row r="784" ht="15.75" customHeight="1">
      <c r="D784" s="27"/>
      <c r="J784" s="5"/>
    </row>
    <row r="785" ht="15.75" customHeight="1">
      <c r="D785" s="27"/>
      <c r="J785" s="5"/>
    </row>
    <row r="786" ht="15.75" customHeight="1">
      <c r="D786" s="27"/>
      <c r="J786" s="5"/>
    </row>
    <row r="787" ht="15.75" customHeight="1">
      <c r="D787" s="27"/>
      <c r="J787" s="5"/>
    </row>
    <row r="788" ht="15.75" customHeight="1">
      <c r="D788" s="27"/>
      <c r="J788" s="5"/>
    </row>
    <row r="789" ht="15.75" customHeight="1">
      <c r="D789" s="27"/>
      <c r="J789" s="5"/>
    </row>
    <row r="790" ht="15.75" customHeight="1">
      <c r="D790" s="27"/>
      <c r="J790" s="5"/>
    </row>
    <row r="791" ht="15.75" customHeight="1">
      <c r="D791" s="27"/>
      <c r="J791" s="5"/>
    </row>
    <row r="792" ht="15.75" customHeight="1">
      <c r="D792" s="27"/>
      <c r="J792" s="5"/>
    </row>
    <row r="793" ht="15.75" customHeight="1">
      <c r="D793" s="27"/>
      <c r="J793" s="5"/>
    </row>
    <row r="794" ht="15.75" customHeight="1">
      <c r="D794" s="27"/>
      <c r="J794" s="5"/>
    </row>
    <row r="795" ht="15.75" customHeight="1">
      <c r="D795" s="27"/>
      <c r="J795" s="5"/>
    </row>
    <row r="796" ht="15.75" customHeight="1">
      <c r="D796" s="27"/>
      <c r="J796" s="5"/>
    </row>
    <row r="797" ht="15.75" customHeight="1">
      <c r="D797" s="27"/>
      <c r="J797" s="5"/>
    </row>
    <row r="798" ht="15.75" customHeight="1">
      <c r="D798" s="27"/>
      <c r="J798" s="5"/>
    </row>
    <row r="799" ht="15.75" customHeight="1">
      <c r="D799" s="27"/>
      <c r="J799" s="5"/>
    </row>
    <row r="800" ht="15.75" customHeight="1">
      <c r="D800" s="27"/>
      <c r="J800" s="5"/>
    </row>
    <row r="801" ht="15.75" customHeight="1">
      <c r="D801" s="27"/>
      <c r="J801" s="5"/>
    </row>
    <row r="802" ht="15.75" customHeight="1">
      <c r="D802" s="27"/>
      <c r="J802" s="5"/>
    </row>
    <row r="803" ht="15.75" customHeight="1">
      <c r="D803" s="27"/>
      <c r="J803" s="5"/>
    </row>
    <row r="804" ht="15.75" customHeight="1">
      <c r="D804" s="27"/>
      <c r="J804" s="5"/>
    </row>
    <row r="805" ht="15.75" customHeight="1">
      <c r="D805" s="27"/>
      <c r="J805" s="5"/>
    </row>
    <row r="806" ht="15.75" customHeight="1">
      <c r="D806" s="27"/>
      <c r="J806" s="5"/>
    </row>
    <row r="807" ht="15.75" customHeight="1">
      <c r="D807" s="27"/>
      <c r="J807" s="5"/>
    </row>
    <row r="808" ht="15.75" customHeight="1">
      <c r="D808" s="27"/>
      <c r="J808" s="5"/>
    </row>
    <row r="809" ht="15.75" customHeight="1">
      <c r="D809" s="27"/>
      <c r="J809" s="5"/>
    </row>
    <row r="810" ht="15.75" customHeight="1">
      <c r="D810" s="27"/>
      <c r="J810" s="5"/>
    </row>
    <row r="811" ht="15.75" customHeight="1">
      <c r="D811" s="27"/>
      <c r="J811" s="5"/>
    </row>
    <row r="812" ht="15.75" customHeight="1">
      <c r="D812" s="27"/>
      <c r="J812" s="5"/>
    </row>
    <row r="813" ht="15.75" customHeight="1">
      <c r="D813" s="27"/>
      <c r="J813" s="5"/>
    </row>
    <row r="814" ht="15.75" customHeight="1">
      <c r="D814" s="27"/>
      <c r="J814" s="5"/>
    </row>
    <row r="815" ht="15.75" customHeight="1">
      <c r="D815" s="27"/>
      <c r="J815" s="5"/>
    </row>
    <row r="816" ht="15.75" customHeight="1">
      <c r="D816" s="27"/>
      <c r="J816" s="5"/>
    </row>
    <row r="817" ht="15.75" customHeight="1">
      <c r="D817" s="27"/>
      <c r="J817" s="5"/>
    </row>
    <row r="818" ht="15.75" customHeight="1">
      <c r="D818" s="27"/>
      <c r="J818" s="5"/>
    </row>
    <row r="819" ht="15.75" customHeight="1">
      <c r="D819" s="27"/>
      <c r="J819" s="5"/>
    </row>
    <row r="820" ht="15.75" customHeight="1">
      <c r="D820" s="27"/>
      <c r="J820" s="5"/>
    </row>
    <row r="821" ht="15.75" customHeight="1">
      <c r="D821" s="27"/>
      <c r="J821" s="5"/>
    </row>
    <row r="822" ht="15.75" customHeight="1">
      <c r="D822" s="27"/>
      <c r="J822" s="5"/>
    </row>
    <row r="823" ht="15.75" customHeight="1">
      <c r="D823" s="27"/>
      <c r="J823" s="5"/>
    </row>
    <row r="824" ht="15.75" customHeight="1">
      <c r="D824" s="27"/>
      <c r="J824" s="5"/>
    </row>
    <row r="825" ht="15.75" customHeight="1">
      <c r="D825" s="27"/>
      <c r="J825" s="5"/>
    </row>
    <row r="826" ht="15.75" customHeight="1">
      <c r="D826" s="27"/>
      <c r="J826" s="5"/>
    </row>
    <row r="827" ht="15.75" customHeight="1">
      <c r="D827" s="27"/>
      <c r="J827" s="5"/>
    </row>
    <row r="828" ht="15.75" customHeight="1">
      <c r="D828" s="27"/>
      <c r="J828" s="5"/>
    </row>
    <row r="829" ht="15.75" customHeight="1">
      <c r="D829" s="27"/>
      <c r="J829" s="5"/>
    </row>
    <row r="830" ht="15.75" customHeight="1">
      <c r="D830" s="27"/>
      <c r="J830" s="5"/>
    </row>
    <row r="831" ht="15.75" customHeight="1">
      <c r="D831" s="27"/>
      <c r="J831" s="5"/>
    </row>
    <row r="832" ht="15.75" customHeight="1">
      <c r="D832" s="27"/>
      <c r="J832" s="5"/>
    </row>
    <row r="833" ht="15.75" customHeight="1">
      <c r="D833" s="27"/>
      <c r="J833" s="5"/>
    </row>
    <row r="834" ht="15.75" customHeight="1">
      <c r="D834" s="27"/>
      <c r="J834" s="5"/>
    </row>
    <row r="835" ht="15.75" customHeight="1">
      <c r="D835" s="27"/>
      <c r="J835" s="5"/>
    </row>
    <row r="836" ht="15.75" customHeight="1">
      <c r="D836" s="27"/>
      <c r="J836" s="5"/>
    </row>
    <row r="837" ht="15.75" customHeight="1">
      <c r="D837" s="27"/>
      <c r="J837" s="5"/>
    </row>
    <row r="838" ht="15.75" customHeight="1">
      <c r="D838" s="27"/>
      <c r="J838" s="5"/>
    </row>
    <row r="839" ht="15.75" customHeight="1">
      <c r="D839" s="27"/>
      <c r="J839" s="5"/>
    </row>
    <row r="840" ht="15.75" customHeight="1">
      <c r="D840" s="27"/>
      <c r="J840" s="5"/>
    </row>
    <row r="841" ht="15.75" customHeight="1">
      <c r="D841" s="27"/>
      <c r="J841" s="5"/>
    </row>
    <row r="842" ht="15.75" customHeight="1">
      <c r="D842" s="27"/>
      <c r="J842" s="5"/>
    </row>
    <row r="843" ht="15.75" customHeight="1">
      <c r="D843" s="27"/>
      <c r="J843" s="5"/>
    </row>
    <row r="844" ht="15.75" customHeight="1">
      <c r="D844" s="27"/>
      <c r="J844" s="5"/>
    </row>
    <row r="845" ht="15.75" customHeight="1">
      <c r="D845" s="27"/>
      <c r="J845" s="5"/>
    </row>
    <row r="846" ht="15.75" customHeight="1">
      <c r="D846" s="27"/>
      <c r="J846" s="5"/>
    </row>
    <row r="847" ht="15.75" customHeight="1">
      <c r="D847" s="27"/>
      <c r="J847" s="5"/>
    </row>
    <row r="848" ht="15.75" customHeight="1">
      <c r="D848" s="27"/>
      <c r="J848" s="5"/>
    </row>
    <row r="849" ht="15.75" customHeight="1">
      <c r="D849" s="27"/>
      <c r="J849" s="5"/>
    </row>
    <row r="850" ht="15.75" customHeight="1">
      <c r="D850" s="27"/>
      <c r="J850" s="5"/>
    </row>
    <row r="851" ht="15.75" customHeight="1">
      <c r="D851" s="27"/>
      <c r="J851" s="5"/>
    </row>
    <row r="852" ht="15.75" customHeight="1">
      <c r="D852" s="27"/>
      <c r="J852" s="5"/>
    </row>
    <row r="853" ht="15.75" customHeight="1">
      <c r="D853" s="27"/>
      <c r="J853" s="5"/>
    </row>
    <row r="854" ht="15.75" customHeight="1">
      <c r="D854" s="27"/>
      <c r="J854" s="5"/>
    </row>
    <row r="855" ht="15.75" customHeight="1">
      <c r="D855" s="27"/>
      <c r="J855" s="5"/>
    </row>
    <row r="856" ht="15.75" customHeight="1">
      <c r="D856" s="27"/>
      <c r="J856" s="5"/>
    </row>
    <row r="857" ht="15.75" customHeight="1">
      <c r="D857" s="27"/>
      <c r="J857" s="5"/>
    </row>
    <row r="858" ht="15.75" customHeight="1">
      <c r="D858" s="27"/>
      <c r="J858" s="5"/>
    </row>
    <row r="859" ht="15.75" customHeight="1">
      <c r="D859" s="27"/>
      <c r="J859" s="5"/>
    </row>
    <row r="860" ht="15.75" customHeight="1">
      <c r="D860" s="27"/>
      <c r="J860" s="5"/>
    </row>
    <row r="861" ht="15.75" customHeight="1">
      <c r="D861" s="27"/>
      <c r="J861" s="5"/>
    </row>
    <row r="862" ht="15.75" customHeight="1">
      <c r="D862" s="27"/>
      <c r="J862" s="5"/>
    </row>
    <row r="863" ht="15.75" customHeight="1">
      <c r="D863" s="27"/>
      <c r="J863" s="5"/>
    </row>
    <row r="864" ht="15.75" customHeight="1">
      <c r="D864" s="27"/>
      <c r="J864" s="5"/>
    </row>
    <row r="865" ht="15.75" customHeight="1">
      <c r="D865" s="27"/>
      <c r="J865" s="5"/>
    </row>
    <row r="866" ht="15.75" customHeight="1">
      <c r="D866" s="27"/>
      <c r="J866" s="5"/>
    </row>
    <row r="867" ht="15.75" customHeight="1">
      <c r="D867" s="27"/>
      <c r="J867" s="5"/>
    </row>
    <row r="868" ht="15.75" customHeight="1">
      <c r="D868" s="27"/>
      <c r="J868" s="5"/>
    </row>
    <row r="869" ht="15.75" customHeight="1">
      <c r="D869" s="27"/>
      <c r="J869" s="5"/>
    </row>
    <row r="870" ht="15.75" customHeight="1">
      <c r="D870" s="27"/>
      <c r="J870" s="5"/>
    </row>
    <row r="871" ht="15.75" customHeight="1">
      <c r="D871" s="27"/>
      <c r="J871" s="5"/>
    </row>
    <row r="872" ht="15.75" customHeight="1">
      <c r="D872" s="27"/>
      <c r="J872" s="5"/>
    </row>
    <row r="873" ht="15.75" customHeight="1">
      <c r="D873" s="27"/>
      <c r="J873" s="5"/>
    </row>
    <row r="874" ht="15.75" customHeight="1">
      <c r="D874" s="27"/>
      <c r="J874" s="5"/>
    </row>
    <row r="875" ht="15.75" customHeight="1">
      <c r="D875" s="27"/>
      <c r="J875" s="5"/>
    </row>
    <row r="876" ht="15.75" customHeight="1">
      <c r="D876" s="27"/>
      <c r="J876" s="5"/>
    </row>
    <row r="877" ht="15.75" customHeight="1">
      <c r="D877" s="27"/>
      <c r="J877" s="5"/>
    </row>
    <row r="878" ht="15.75" customHeight="1">
      <c r="D878" s="27"/>
      <c r="J878" s="5"/>
    </row>
    <row r="879" ht="15.75" customHeight="1">
      <c r="D879" s="27"/>
      <c r="J879" s="5"/>
    </row>
    <row r="880" ht="15.75" customHeight="1">
      <c r="D880" s="27"/>
      <c r="J880" s="5"/>
    </row>
    <row r="881" ht="15.75" customHeight="1">
      <c r="D881" s="27"/>
      <c r="J881" s="5"/>
    </row>
    <row r="882" ht="15.75" customHeight="1">
      <c r="D882" s="27"/>
      <c r="J882" s="5"/>
    </row>
    <row r="883" ht="15.75" customHeight="1">
      <c r="D883" s="27"/>
      <c r="J883" s="5"/>
    </row>
    <row r="884" ht="15.75" customHeight="1">
      <c r="D884" s="27"/>
      <c r="J884" s="5"/>
    </row>
    <row r="885" ht="15.75" customHeight="1">
      <c r="D885" s="27"/>
      <c r="J885" s="5"/>
    </row>
    <row r="886" ht="15.75" customHeight="1">
      <c r="D886" s="27"/>
      <c r="J886" s="5"/>
    </row>
    <row r="887" ht="15.75" customHeight="1">
      <c r="D887" s="27"/>
      <c r="J887" s="5"/>
    </row>
    <row r="888" ht="15.75" customHeight="1">
      <c r="D888" s="27"/>
      <c r="J888" s="5"/>
    </row>
    <row r="889" ht="15.75" customHeight="1">
      <c r="D889" s="27"/>
      <c r="J889" s="5"/>
    </row>
    <row r="890" ht="15.75" customHeight="1">
      <c r="D890" s="27"/>
      <c r="J890" s="5"/>
    </row>
    <row r="891" ht="15.75" customHeight="1">
      <c r="D891" s="27"/>
      <c r="J891" s="5"/>
    </row>
    <row r="892" ht="15.75" customHeight="1">
      <c r="D892" s="27"/>
      <c r="J892" s="5"/>
    </row>
    <row r="893" ht="15.75" customHeight="1">
      <c r="D893" s="27"/>
      <c r="J893" s="5"/>
    </row>
    <row r="894" ht="15.75" customHeight="1">
      <c r="D894" s="27"/>
      <c r="J894" s="5"/>
    </row>
    <row r="895" ht="15.75" customHeight="1">
      <c r="D895" s="27"/>
      <c r="J895" s="5"/>
    </row>
    <row r="896" ht="15.75" customHeight="1">
      <c r="D896" s="27"/>
      <c r="J896" s="5"/>
    </row>
    <row r="897" ht="15.75" customHeight="1">
      <c r="D897" s="27"/>
      <c r="J897" s="5"/>
    </row>
    <row r="898" ht="15.75" customHeight="1">
      <c r="D898" s="27"/>
      <c r="J898" s="5"/>
    </row>
    <row r="899" ht="15.75" customHeight="1">
      <c r="D899" s="27"/>
      <c r="J899" s="5"/>
    </row>
    <row r="900" ht="15.75" customHeight="1">
      <c r="D900" s="27"/>
      <c r="J900" s="5"/>
    </row>
    <row r="901" ht="15.75" customHeight="1">
      <c r="D901" s="27"/>
      <c r="J901" s="5"/>
    </row>
    <row r="902" ht="15.75" customHeight="1">
      <c r="D902" s="27"/>
      <c r="J902" s="5"/>
    </row>
    <row r="903" ht="15.75" customHeight="1">
      <c r="D903" s="27"/>
      <c r="J903" s="5"/>
    </row>
    <row r="904" ht="15.75" customHeight="1">
      <c r="D904" s="27"/>
      <c r="J904" s="5"/>
    </row>
    <row r="905" ht="15.75" customHeight="1">
      <c r="D905" s="27"/>
      <c r="J905" s="5"/>
    </row>
    <row r="906" ht="15.75" customHeight="1">
      <c r="D906" s="27"/>
      <c r="J906" s="5"/>
    </row>
    <row r="907" ht="15.75" customHeight="1">
      <c r="D907" s="27"/>
      <c r="J907" s="5"/>
    </row>
    <row r="908" ht="15.75" customHeight="1">
      <c r="D908" s="27"/>
      <c r="J908" s="5"/>
    </row>
    <row r="909" ht="15.75" customHeight="1">
      <c r="D909" s="27"/>
      <c r="J909" s="5"/>
    </row>
    <row r="910" ht="15.75" customHeight="1">
      <c r="D910" s="27"/>
      <c r="J910" s="5"/>
    </row>
    <row r="911" ht="15.75" customHeight="1">
      <c r="D911" s="27"/>
      <c r="J911" s="5"/>
    </row>
    <row r="912" ht="15.75" customHeight="1">
      <c r="D912" s="27"/>
      <c r="J912" s="5"/>
    </row>
    <row r="913" ht="15.75" customHeight="1">
      <c r="D913" s="27"/>
      <c r="J913" s="5"/>
    </row>
    <row r="914" ht="15.75" customHeight="1">
      <c r="D914" s="27"/>
      <c r="J914" s="5"/>
    </row>
    <row r="915" ht="15.75" customHeight="1">
      <c r="D915" s="27"/>
      <c r="J915" s="5"/>
    </row>
    <row r="916" ht="15.75" customHeight="1">
      <c r="D916" s="27"/>
      <c r="J916" s="5"/>
    </row>
    <row r="917" ht="15.75" customHeight="1">
      <c r="D917" s="27"/>
      <c r="J917" s="5"/>
    </row>
    <row r="918" ht="15.75" customHeight="1">
      <c r="D918" s="27"/>
      <c r="J918" s="5"/>
    </row>
    <row r="919" ht="15.75" customHeight="1">
      <c r="D919" s="27"/>
      <c r="J919" s="5"/>
    </row>
    <row r="920" ht="15.75" customHeight="1">
      <c r="D920" s="27"/>
      <c r="J920" s="5"/>
    </row>
    <row r="921" ht="15.75" customHeight="1">
      <c r="D921" s="27"/>
      <c r="J921" s="5"/>
    </row>
    <row r="922" ht="15.75" customHeight="1">
      <c r="D922" s="27"/>
      <c r="J922" s="5"/>
    </row>
    <row r="923" ht="15.75" customHeight="1">
      <c r="D923" s="27"/>
      <c r="J923" s="5"/>
    </row>
    <row r="924" ht="15.75" customHeight="1">
      <c r="D924" s="27"/>
      <c r="J924" s="5"/>
    </row>
    <row r="925" ht="15.75" customHeight="1">
      <c r="D925" s="27"/>
      <c r="J925" s="5"/>
    </row>
    <row r="926" ht="15.75" customHeight="1">
      <c r="D926" s="27"/>
      <c r="J926" s="5"/>
    </row>
    <row r="927" ht="15.75" customHeight="1">
      <c r="D927" s="27"/>
      <c r="J927" s="5"/>
    </row>
    <row r="928" ht="15.75" customHeight="1">
      <c r="D928" s="27"/>
      <c r="J928" s="5"/>
    </row>
    <row r="929" ht="15.75" customHeight="1">
      <c r="D929" s="27"/>
      <c r="J929" s="5"/>
    </row>
    <row r="930" ht="15.75" customHeight="1">
      <c r="D930" s="27"/>
      <c r="J930" s="5"/>
    </row>
    <row r="931" ht="15.75" customHeight="1">
      <c r="D931" s="27"/>
      <c r="J931" s="5"/>
    </row>
    <row r="932" ht="15.75" customHeight="1">
      <c r="D932" s="27"/>
      <c r="J932" s="5"/>
    </row>
    <row r="933" ht="15.75" customHeight="1">
      <c r="D933" s="27"/>
      <c r="J933" s="5"/>
    </row>
    <row r="934" ht="15.75" customHeight="1">
      <c r="D934" s="27"/>
      <c r="J934" s="5"/>
    </row>
    <row r="935" ht="15.75" customHeight="1">
      <c r="D935" s="27"/>
      <c r="J935" s="5"/>
    </row>
    <row r="936" ht="15.75" customHeight="1">
      <c r="D936" s="27"/>
      <c r="J936" s="5"/>
    </row>
    <row r="937" ht="15.75" customHeight="1">
      <c r="D937" s="27"/>
      <c r="J937" s="5"/>
    </row>
    <row r="938" ht="15.75" customHeight="1">
      <c r="D938" s="27"/>
      <c r="J938" s="5"/>
    </row>
    <row r="939" ht="15.75" customHeight="1">
      <c r="D939" s="27"/>
      <c r="J939" s="5"/>
    </row>
    <row r="940" ht="15.75" customHeight="1">
      <c r="D940" s="27"/>
      <c r="J940" s="5"/>
    </row>
    <row r="941" ht="15.75" customHeight="1">
      <c r="D941" s="27"/>
      <c r="J941" s="5"/>
    </row>
    <row r="942" ht="15.75" customHeight="1">
      <c r="D942" s="27"/>
      <c r="J942" s="5"/>
    </row>
    <row r="943" ht="15.75" customHeight="1">
      <c r="D943" s="27"/>
      <c r="J943" s="5"/>
    </row>
    <row r="944" ht="15.75" customHeight="1">
      <c r="D944" s="27"/>
      <c r="J944" s="5"/>
    </row>
    <row r="945" ht="15.75" customHeight="1">
      <c r="D945" s="27"/>
      <c r="J945" s="5"/>
    </row>
    <row r="946" ht="15.75" customHeight="1">
      <c r="D946" s="27"/>
      <c r="J946" s="5"/>
    </row>
    <row r="947" ht="15.75" customHeight="1">
      <c r="D947" s="27"/>
      <c r="J947" s="5"/>
    </row>
    <row r="948" ht="15.75" customHeight="1">
      <c r="D948" s="27"/>
      <c r="J948" s="5"/>
    </row>
    <row r="949" ht="15.75" customHeight="1">
      <c r="D949" s="27"/>
      <c r="J949" s="5"/>
    </row>
    <row r="950" ht="15.75" customHeight="1">
      <c r="D950" s="27"/>
      <c r="J950" s="5"/>
    </row>
    <row r="951" ht="15.75" customHeight="1">
      <c r="D951" s="27"/>
      <c r="J951" s="5"/>
    </row>
    <row r="952" ht="15.75" customHeight="1">
      <c r="D952" s="27"/>
      <c r="J952" s="5"/>
    </row>
    <row r="953" ht="15.75" customHeight="1">
      <c r="D953" s="27"/>
      <c r="J953" s="5"/>
    </row>
    <row r="954" ht="15.75" customHeight="1">
      <c r="D954" s="27"/>
      <c r="J954" s="5"/>
    </row>
    <row r="955" ht="15.75" customHeight="1">
      <c r="D955" s="27"/>
      <c r="J955" s="5"/>
    </row>
    <row r="956" ht="15.75" customHeight="1">
      <c r="D956" s="27"/>
      <c r="J956" s="5"/>
    </row>
    <row r="957" ht="15.75" customHeight="1">
      <c r="D957" s="27"/>
      <c r="J957" s="5"/>
    </row>
    <row r="958" ht="15.75" customHeight="1">
      <c r="D958" s="27"/>
      <c r="J958" s="5"/>
    </row>
    <row r="959" ht="15.75" customHeight="1">
      <c r="D959" s="27"/>
      <c r="J959" s="5"/>
    </row>
    <row r="960" ht="15.75" customHeight="1">
      <c r="D960" s="27"/>
      <c r="J960" s="5"/>
    </row>
    <row r="961" ht="15.75" customHeight="1">
      <c r="D961" s="27"/>
      <c r="J961" s="5"/>
    </row>
    <row r="962" ht="15.75" customHeight="1">
      <c r="D962" s="27"/>
      <c r="J962" s="5"/>
    </row>
    <row r="963" ht="15.75" customHeight="1">
      <c r="D963" s="27"/>
      <c r="J963" s="5"/>
    </row>
    <row r="964" ht="15.75" customHeight="1">
      <c r="D964" s="27"/>
      <c r="J964" s="5"/>
    </row>
    <row r="965" ht="15.75" customHeight="1">
      <c r="D965" s="27"/>
      <c r="J965" s="5"/>
    </row>
    <row r="966" ht="15.75" customHeight="1">
      <c r="D966" s="27"/>
      <c r="J966" s="5"/>
    </row>
    <row r="967" ht="15.75" customHeight="1">
      <c r="D967" s="27"/>
      <c r="J967" s="5"/>
    </row>
    <row r="968" ht="15.75" customHeight="1">
      <c r="D968" s="27"/>
      <c r="J968" s="5"/>
    </row>
    <row r="969" ht="15.75" customHeight="1">
      <c r="D969" s="27"/>
      <c r="J969" s="5"/>
    </row>
    <row r="970" ht="15.75" customHeight="1">
      <c r="D970" s="27"/>
      <c r="J970" s="5"/>
    </row>
    <row r="971" ht="15.75" customHeight="1">
      <c r="D971" s="27"/>
      <c r="J971" s="5"/>
    </row>
    <row r="972" ht="15.75" customHeight="1">
      <c r="D972" s="27"/>
      <c r="J972" s="5"/>
    </row>
    <row r="973" ht="15.75" customHeight="1">
      <c r="D973" s="27"/>
      <c r="J973" s="5"/>
    </row>
    <row r="974" ht="15.75" customHeight="1">
      <c r="D974" s="27"/>
      <c r="J974" s="5"/>
    </row>
    <row r="975" ht="15.75" customHeight="1">
      <c r="D975" s="27"/>
      <c r="J975" s="5"/>
    </row>
    <row r="976" ht="15.75" customHeight="1">
      <c r="D976" s="27"/>
      <c r="J976" s="5"/>
    </row>
    <row r="977" ht="15.75" customHeight="1">
      <c r="D977" s="27"/>
      <c r="J977" s="5"/>
    </row>
    <row r="978" ht="15.75" customHeight="1">
      <c r="D978" s="27"/>
      <c r="J978" s="5"/>
    </row>
    <row r="979" ht="15.75" customHeight="1">
      <c r="D979" s="27"/>
      <c r="J979" s="5"/>
    </row>
    <row r="980" ht="15.75" customHeight="1">
      <c r="D980" s="27"/>
      <c r="J980" s="5"/>
    </row>
    <row r="981" ht="15.75" customHeight="1">
      <c r="D981" s="27"/>
      <c r="J981" s="5"/>
    </row>
    <row r="982" ht="15.75" customHeight="1">
      <c r="D982" s="27"/>
      <c r="J982" s="5"/>
    </row>
    <row r="983" ht="15.75" customHeight="1">
      <c r="D983" s="27"/>
      <c r="J983" s="5"/>
    </row>
    <row r="984" ht="15.75" customHeight="1">
      <c r="D984" s="27"/>
      <c r="J984" s="5"/>
    </row>
    <row r="985" ht="15.75" customHeight="1">
      <c r="D985" s="27"/>
      <c r="J985" s="5"/>
    </row>
    <row r="986" ht="15.75" customHeight="1">
      <c r="D986" s="27"/>
      <c r="J986" s="5"/>
    </row>
    <row r="987" ht="15.75" customHeight="1">
      <c r="D987" s="27"/>
      <c r="J987" s="5"/>
    </row>
    <row r="988" ht="15.75" customHeight="1">
      <c r="D988" s="27"/>
      <c r="J988" s="5"/>
    </row>
    <row r="989" ht="15.75" customHeight="1">
      <c r="D989" s="27"/>
      <c r="J989" s="5"/>
    </row>
    <row r="990" ht="15.75" customHeight="1">
      <c r="D990" s="27"/>
      <c r="J990" s="5"/>
    </row>
    <row r="991" ht="15.75" customHeight="1">
      <c r="D991" s="27"/>
      <c r="J991" s="5"/>
    </row>
    <row r="992" ht="15.75" customHeight="1">
      <c r="D992" s="27"/>
      <c r="J992" s="5"/>
    </row>
    <row r="993" ht="15.75" customHeight="1">
      <c r="D993" s="27"/>
      <c r="J993" s="5"/>
    </row>
    <row r="994" ht="15.75" customHeight="1">
      <c r="D994" s="27"/>
      <c r="J994" s="5"/>
    </row>
    <row r="995" ht="15.75" customHeight="1">
      <c r="D995" s="27"/>
      <c r="J995" s="5"/>
    </row>
    <row r="996" ht="15.75" customHeight="1">
      <c r="D996" s="27"/>
      <c r="J996" s="5"/>
    </row>
    <row r="997" ht="15.75" customHeight="1">
      <c r="D997" s="27"/>
      <c r="J997" s="5"/>
    </row>
    <row r="998" ht="15.75" customHeight="1">
      <c r="D998" s="27"/>
      <c r="J998" s="5"/>
    </row>
    <row r="999" ht="15.75" customHeight="1">
      <c r="D999" s="27"/>
      <c r="J999" s="5"/>
    </row>
    <row r="1000" ht="15.75" customHeight="1">
      <c r="D1000" s="27"/>
      <c r="J1000" s="5"/>
    </row>
  </sheetData>
  <conditionalFormatting sqref="D1:D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A1:F1000">
    <cfRule type="cellIs" dxfId="0" priority="2" operator="equal">
      <formula>"Electronics"</formula>
    </cfRule>
  </conditionalFormatting>
  <conditionalFormatting sqref="A2:F32">
    <cfRule type="expression" dxfId="0" priority="3">
      <formula>$F2="Electronics"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</cols>
  <sheetData>
    <row r="1">
      <c r="A1" s="3" t="s">
        <v>1</v>
      </c>
    </row>
    <row r="2">
      <c r="A2" s="5" t="s">
        <v>7</v>
      </c>
    </row>
    <row r="3">
      <c r="A3" s="5" t="s">
        <v>11</v>
      </c>
    </row>
    <row r="4">
      <c r="A4" s="5" t="s">
        <v>12</v>
      </c>
    </row>
    <row r="5">
      <c r="A5" s="5" t="s">
        <v>14</v>
      </c>
    </row>
    <row r="6">
      <c r="A6" s="5" t="s">
        <v>15</v>
      </c>
    </row>
    <row r="7">
      <c r="A7" s="5" t="s">
        <v>16</v>
      </c>
    </row>
    <row r="8">
      <c r="A8" s="5" t="s">
        <v>18</v>
      </c>
    </row>
    <row r="9">
      <c r="A9" s="5" t="s">
        <v>21</v>
      </c>
    </row>
    <row r="10">
      <c r="A10" s="5" t="s">
        <v>23</v>
      </c>
    </row>
    <row r="11">
      <c r="A11" s="5" t="s">
        <v>24</v>
      </c>
    </row>
    <row r="12">
      <c r="A12" s="5" t="s">
        <v>27</v>
      </c>
    </row>
    <row r="13">
      <c r="A13" s="5" t="s">
        <v>28</v>
      </c>
    </row>
    <row r="14">
      <c r="A14" s="5" t="s">
        <v>31</v>
      </c>
    </row>
    <row r="15">
      <c r="A15" s="5" t="s">
        <v>33</v>
      </c>
    </row>
    <row r="16">
      <c r="A16" s="5" t="s">
        <v>34</v>
      </c>
    </row>
    <row r="17">
      <c r="A17" s="5" t="s">
        <v>36</v>
      </c>
    </row>
    <row r="18">
      <c r="A18" s="5" t="s">
        <v>39</v>
      </c>
    </row>
    <row r="19">
      <c r="A19" s="5" t="s">
        <v>41</v>
      </c>
    </row>
    <row r="20">
      <c r="A20" s="5" t="s">
        <v>42</v>
      </c>
    </row>
    <row r="21">
      <c r="A21" s="5" t="s">
        <v>44</v>
      </c>
    </row>
    <row r="22">
      <c r="A22" s="5" t="s">
        <v>45</v>
      </c>
    </row>
    <row r="23">
      <c r="A23" s="5" t="s">
        <v>47</v>
      </c>
    </row>
    <row r="24">
      <c r="A24" s="5" t="s">
        <v>18</v>
      </c>
    </row>
    <row r="25">
      <c r="A25" s="5" t="s">
        <v>49</v>
      </c>
    </row>
    <row r="26">
      <c r="A26" s="5" t="s">
        <v>50</v>
      </c>
    </row>
    <row r="27">
      <c r="A27" s="5" t="s">
        <v>51</v>
      </c>
    </row>
    <row r="28">
      <c r="A28" s="5" t="s">
        <v>52</v>
      </c>
    </row>
    <row r="29">
      <c r="A29" s="5" t="s">
        <v>54</v>
      </c>
    </row>
    <row r="30">
      <c r="A30" s="5" t="s">
        <v>55</v>
      </c>
    </row>
    <row r="31">
      <c r="A31" s="5" t="s">
        <v>57</v>
      </c>
    </row>
    <row r="32">
      <c r="A32" s="5" t="s">
        <v>58</v>
      </c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